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c26762b6f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总览" sheetId="1" r:id="Rac55dca44a794d9f"/>
    <x:sheet xmlns:r="http://schemas.openxmlformats.org/officeDocument/2006/relationships" name="事件与分支" sheetId="2" r:id="R6db0a80ffc6044be"/>
    <x:sheet xmlns:r="http://schemas.openxmlformats.org/officeDocument/2006/relationships" name="条件合理性" sheetId="3" r:id="R6c27e18afe6e475a"/>
    <x:sheet xmlns:r="http://schemas.openxmlformats.org/officeDocument/2006/relationships" name="流程与边界" sheetId="4" r:id="R8c620664269b4875"/>
    <x:sheet xmlns:r="http://schemas.openxmlformats.org/officeDocument/2006/relationships" name="缺陷记录" sheetId="5" r:id="Rb13fb44b1ae3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0">
    <x:font>
      <x:sz val="11"/>
      <x:name val="Carlito"/>
    </x:font>
    <x:font>
      <x:b/>
      <x:sz val="16"/>
      <x:color rgb="FF172033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1"/>
      <x:color rgb="FF111827"/>
      <x:name val="Arial"/>
    </x:font>
    <x:font>
      <x:b/>
      <x:sz val="11"/>
      <x:color rgb="FFF59E0B"/>
      <x:name val="Arial"/>
    </x:font>
    <x:font>
      <x:b/>
      <x:sz val="11"/>
      <x:color rgb="FFFFFFFF"/>
      <x:name val="Arial"/>
    </x:font>
    <x:font>
      <x:b/>
      <x:sz val="11"/>
      <x:color rgb="FF172033"/>
      <x:name val="Arial"/>
    </x:font>
    <x:font>
      <x:sz val="11"/>
      <x:name val="Arial"/>
    </x:font>
    <x:font>
      <x:sz val="10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7F9FC"/>
      </x:patternFill>
    </x:fill>
    <x:fill>
      <x:patternFill patternType="solid">
        <x:fgColor rgb="FF23304A"/>
      </x:patternFill>
    </x:fill>
    <x:fill>
      <x:patternFill patternType="solid">
        <x:fgColor rgb="FFEEF2F7"/>
      </x:patternFill>
    </x:fill>
    <x:fill>
      <x:patternFill patternType="solid">
        <x:fgColor rgb="FFF59E0B"/>
      </x:patternFill>
    </x:fill>
    <x:fill>
      <x:patternFill patternType="solid">
        <x:fgColor rgb="FF06B6D4"/>
      </x:patternFill>
    </x:fill>
    <x:fill>
      <x:patternFill patternType="solid">
        <x:fgColor rgb="FF172033"/>
      </x:patternFill>
    </x:fill>
    <x:fill>
      <x:patternFill patternType="solid">
        <x:fgColor rgb="FFFFF7D6"/>
      </x:patternFill>
    </x:fill>
  </x:fills>
  <x:borders count="15">
    <x:border/>
    <x:border>
      <x:bottom style="medium">
        <x:color rgb="FFF59E0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7DEE9"/>
      </x:left>
      <x:top style="thin">
        <x:color rgb="FFD7DEE9"/>
      </x:top>
    </x:border>
    <x:border>
      <x:top style="thin">
        <x:color rgb="FFD7DEE9"/>
      </x:top>
    </x:border>
    <x:border>
      <x:right style="thin">
        <x:color rgb="FFD7DEE9"/>
      </x:right>
      <x:top style="thin">
        <x:color rgb="FFD7DEE9"/>
      </x:top>
    </x:border>
    <x:border>
      <x:left style="thin">
        <x:color rgb="FFD7DEE9"/>
      </x:left>
      <x:bottom style="medium">
        <x:color rgb="FFF59E0B"/>
      </x:bottom>
    </x:border>
    <x:border>
      <x:right style="thin">
        <x:color rgb="FFD7DEE9"/>
      </x:right>
      <x:bottom style="medium">
        <x:color rgb="FFF59E0B"/>
      </x:bottom>
    </x:border>
    <x:border>
      <x:left style="thin">
        <x:color rgb="FFD7DEE9"/>
      </x:left>
    </x:border>
    <x:border>
      <x:right style="thin">
        <x:color rgb="FFD7DEE9"/>
      </x:right>
    </x:border>
    <x:border>
      <x:left style="thin">
        <x:color rgb="FFD7DEE9"/>
      </x:left>
      <x:bottom style="thin">
        <x:color rgb="FFD7DEE9"/>
      </x:bottom>
    </x:border>
    <x:border>
      <x:bottom style="thin">
        <x:color rgb="FFD7DEE9"/>
      </x:bottom>
    </x:border>
    <x:border>
      <x:right style="thin">
        <x:color rgb="FFD7DEE9"/>
      </x:right>
      <x:bottom style="thin">
        <x:color rgb="FFD7DEE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200" fontId="9" fillId="8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vertical="center"/>
    </x:xf>
    <x:xf numFmtId="0" fontId="8" fillId="2" borderId="10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horizontal="center" vertical="center"/>
    </x:xf>
    <x:xf numFmtId="0" fontId="3" fillId="3" borderId="11" xfId="0" applyNumberFormat="1" applyFont="1" applyFill="1" applyBorder="1" applyAlignment="1">
      <x:alignment horizontal="center" vertical="center"/>
    </x:xf>
    <x:xf numFmtId="0" fontId="1" fillId="4" borderId="11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vertical="center"/>
    </x:xf>
    <x:xf numFmtId="0" fontId="5" fillId="2" borderId="10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/>
    </x:xf>
    <x:xf numFmtId="0" fontId="7" fillId="2" borderId="10" xfId="0" applyNumberFormat="1" applyFont="1" applyFill="1" applyBorder="1" applyAlignment="1">
      <x:alignment vertical="center"/>
    </x:xf>
    <x:xf numFmtId="0" fontId="7" fillId="2" borderId="12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3cb982e9f4b9d" /><Relationship Type="http://schemas.openxmlformats.org/officeDocument/2006/relationships/theme" Target="/xl/theme/theme1.xml" Id="R2621f1bcaaaa4d73" /><Relationship Type="http://schemas.openxmlformats.org/officeDocument/2006/relationships/sharedStrings" Target="/xl/sharedStrings.xml" Id="R0f52771ee3d743cb" /><Relationship Type="http://schemas.openxmlformats.org/officeDocument/2006/relationships/worksheet" Target="/xl/worksheets/sheet1.xml" Id="Rac55dca44a794d9f" /><Relationship Type="http://schemas.openxmlformats.org/officeDocument/2006/relationships/worksheet" Target="/xl/worksheets/sheet2.xml" Id="R6db0a80ffc6044be" /><Relationship Type="http://schemas.openxmlformats.org/officeDocument/2006/relationships/worksheet" Target="/xl/worksheets/sheet3.xml" Id="R6c27e18afe6e475a" /><Relationship Type="http://schemas.openxmlformats.org/officeDocument/2006/relationships/worksheet" Target="/xl/worksheets/sheet4.xml" Id="R8c620664269b4875" /><Relationship Type="http://schemas.openxmlformats.org/officeDocument/2006/relationships/worksheet" Target="/xl/worksheets/sheet5.xml" Id="Rb13fb44b1ae34bb8" /></Relationships>
</file>

<file path=xl/tables/table1.xml><?xml version="1.0" encoding="utf-8"?>
<x:table xmlns:x="http://schemas.openxmlformats.org/spreadsheetml/2006/main" id="1" name="DestinyEventCases" displayName="DestinyEventCases" ref="A1:T33" headerRowCount="1" totalsRowCount="0" totalsRowShown="0">
  <x:tableColumns count="20">
    <x:tableColumn id="1" name="用例ID"/>
    <x:tableColumn id="2" name="赛季"/>
    <x:tableColumn id="3" name="事件ID"/>
    <x:tableColumn id="4" name="事件名称"/>
    <x:tableColumn id="5" name="类别"/>
    <x:tableColumn id="6" name="分支ID"/>
    <x:tableColumn id="7" name="分支名称"/>
    <x:tableColumn id="8" name="处理方式"/>
    <x:tableColumn id="9" name="必须条件"/>
    <x:tableColumn id="10" name="计分条件"/>
    <x:tableColumn id="11" name="所需分"/>
    <x:tableColumn id="12" name="预期结果"/>
    <x:tableColumn id="13" name="前置事件/分支"/>
    <x:tableColumn id="14" name="测试准备记录"/>
    <x:tableColumn id="15" name="实际结果"/>
    <x:tableColumn id="16" name="状态"/>
    <x:tableColumn id="17" name="测试人"/>
    <x:tableColumn id="18" name="测试日期"/>
    <x:tableColumn id="19" name="缺陷编号"/>
    <x:tableColumn id="2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tinyConditions" displayName="DestinyConditions" ref="A1:S107" headerRowCount="1" totalsRowCount="0" totalsRowShown="0">
  <x:tableColumns count="19">
    <x:tableColumn id="1" name="条件ID"/>
    <x:tableColumn id="2" name="赛季"/>
    <x:tableColumn id="3" name="事件ID"/>
    <x:tableColumn id="4" name="事件名称"/>
    <x:tableColumn id="5" name="分支"/>
    <x:tableColumn id="6" name="条件来源"/>
    <x:tableColumn id="7" name="条件类型"/>
    <x:tableColumn id="8" name="公开条件"/>
    <x:tableColumn id="9" name="必须"/>
    <x:tableColumn id="10" name="分值"/>
    <x:tableColumn id="11" name="数字/对象阈值"/>
    <x:tableColumn id="12" name="边界准备方法"/>
    <x:tableColumn id="13" name="预期行为"/>
    <x:tableColumn id="14" name="观察次数"/>
    <x:tableColumn id="15" name="达成次数"/>
    <x:tableColumn id="16" name="观察达成率"/>
    <x:tableColumn id="17" name="合理性评价"/>
    <x:tableColumn id="18" name="缺陷编号"/>
    <x:tableColumn id="19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estinyFlowCases" displayName="DestinyFlowCases" ref="A1:O212" headerRowCount="1" totalsRowCount="0" totalsRowShown="0">
  <x:tableColumns count="15">
    <x:tableColumn id="1" name="用例ID"/>
    <x:tableColumn id="2" name="赛季"/>
    <x:tableColumn id="3" name="事件ID"/>
    <x:tableColumn id="4" name="事件名称"/>
    <x:tableColumn id="5" name="场景"/>
    <x:tableColumn id="6" name="准备条件"/>
    <x:tableColumn id="7" name="操作"/>
    <x:tableColumn id="8" name="预期页面状态"/>
    <x:tableColumn id="9" name="预期数据结果"/>
    <x:tableColumn id="10" name="实际结果"/>
    <x:tableColumn id="11" name="状态"/>
    <x:tableColumn id="12" name="测试人"/>
    <x:tableColumn id="13" name="测试日期"/>
    <x:tableColumn id="14" name="缺陷编号"/>
    <x:tableColumn id="15" name="备注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DestinyIssues" displayName="DestinyIssues" ref="A1:P301" headerRowCount="1" totalsRowCount="0" totalsRowShown="0">
  <x:tableColumns count="16">
    <x:tableColumn id="1" name="缺陷编号"/>
    <x:tableColumn id="2" name="发现日期"/>
    <x:tableColumn id="3" name="关联用例ID"/>
    <x:tableColumn id="4" name="模式"/>
    <x:tableColumn id="5" name="赛季"/>
    <x:tableColumn id="6" name="严重程度"/>
    <x:tableColumn id="7" name="模块"/>
    <x:tableColumn id="8" name="问题描述"/>
    <x:tableColumn id="9" name="预期结果"/>
    <x:tableColumn id="10" name="实际结果"/>
    <x:tableColumn id="11" name="复现步骤"/>
    <x:tableColumn id="12" name="状态"/>
    <x:tableColumn id="13" name="负责人"/>
    <x:tableColumn id="14" name="修复版本"/>
    <x:tableColumn id="15" name="复测结果"/>
    <x:tableColumn id="16" name="备注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6321bb62d43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caa0319ae4e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52a8876c7842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9a6a2962dc4950" /></Relationships>
</file>

<file path=xl/worksheets/sheet1.xml><?xml version="1.0" encoding="utf-8"?>
<x:worksheet xmlns:x="http://schemas.openxmlformats.org/spreadsheetml/2006/main">
  <x:sheetPr>
    <x:tabColor rgb="FF172033"/>
  </x:sheetPr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6"/>
      <x:c r="B1" s="26"/>
      <x:c r="C1" s="26"/>
      <x:c r="D1" s="26"/>
      <x:c r="E1" s="26"/>
      <x:c r="F1" s="26"/>
      <x:c r="G1" s="26"/>
      <x:c r="H1" s="26"/>
    </x:row>
    <x:row r="2">
      <x:c r="A2" s="44" t="str">
        <x:v>命定事件全流程测试记录表</x:v>
      </x:c>
      <x:c r="B2" s="45"/>
      <x:c r="C2" s="45"/>
      <x:c r="D2" s="45"/>
      <x:c r="E2" s="45"/>
      <x:c r="F2" s="45"/>
      <x:c r="G2" s="45"/>
      <x:c r="H2" s="46"/>
    </x:row>
    <x:row r="3">
      <x:c r="A3" s="47"/>
      <x:c r="B3" s="28"/>
      <x:c r="C3" s="28"/>
      <x:c r="D3" s="28"/>
      <x:c r="E3" s="28"/>
      <x:c r="F3" s="28"/>
      <x:c r="G3" s="28"/>
      <x:c r="H3" s="48"/>
    </x:row>
    <x:row r="4">
      <x:c r="A4" s="49" t="str">
        <x:v>基于当前代码中的 26 个命定事件生成｜版本：v8｜日期：2026-09-15</x:v>
      </x:c>
      <x:c r="B4" s="27"/>
      <x:c r="C4" s="27"/>
      <x:c r="D4" s="27"/>
      <x:c r="E4" s="27"/>
      <x:c r="F4" s="27"/>
      <x:c r="G4" s="27"/>
      <x:c r="H4" s="50"/>
    </x:row>
    <x:row r="5">
      <x:c r="A5" s="51"/>
      <x:c r="B5" s="27"/>
      <x:c r="C5" s="27"/>
      <x:c r="D5" s="27"/>
      <x:c r="E5" s="27"/>
      <x:c r="F5" s="27"/>
      <x:c r="G5" s="27"/>
      <x:c r="H5" s="50"/>
    </x:row>
    <x:row r="6">
      <x:c r="A6" s="52" t="str">
        <x:v>事件/分支用例</x:v>
      </x:c>
      <x:c r="B6" s="20" t="str"/>
      <x:c r="C6" s="20" t="str">
        <x:v>已通过</x:v>
      </x:c>
      <x:c r="D6" s="20" t="str"/>
      <x:c r="E6" s="20" t="str">
        <x:v>失败</x:v>
      </x:c>
      <x:c r="F6" s="20" t="str"/>
      <x:c r="G6" s="20" t="str">
        <x:v>阻塞</x:v>
      </x:c>
      <x:c r="H6" s="53" t="str"/>
    </x:row>
    <x:row r="7">
      <x:c r="A7" s="51" t="str"/>
      <x:c r="B7" s="21" t="n">
        <x:f>COUNTA('事件与分支'!A2:A200)</x:f>
        <x:v>32</x:v>
      </x:c>
      <x:c r="C7" s="27" t="str"/>
      <x:c r="D7" s="21" t="n">
        <x:f>COUNTIF('事件与分支'!P2:P200,"通过")</x:f>
        <x:v>0</x:v>
      </x:c>
      <x:c r="E7" s="27" t="str"/>
      <x:c r="F7" s="21" t="n">
        <x:f>COUNTIF('事件与分支'!P2:P200,"失败")</x:f>
        <x:v>0</x:v>
      </x:c>
      <x:c r="G7" s="27" t="str"/>
      <x:c r="H7" s="54" t="n">
        <x:f>COUNTIF('事件与分支'!P2:P200,"阻塞")</x:f>
        <x:v>0</x:v>
      </x:c>
    </x:row>
    <x:row r="8">
      <x:c r="A8" s="51"/>
      <x:c r="B8" s="27"/>
      <x:c r="C8" s="27"/>
      <x:c r="D8" s="27"/>
      <x:c r="E8" s="27"/>
      <x:c r="F8" s="27"/>
      <x:c r="G8" s="27"/>
      <x:c r="H8" s="50"/>
    </x:row>
    <x:row r="9">
      <x:c r="A9" s="52" t="str">
        <x:v>条件记录</x:v>
      </x:c>
      <x:c r="B9" s="20" t="str"/>
      <x:c r="C9" s="20" t="str">
        <x:v>已评估</x:v>
      </x:c>
      <x:c r="D9" s="20" t="str"/>
      <x:c r="E9" s="20" t="str">
        <x:v>流程用例</x:v>
      </x:c>
      <x:c r="F9" s="20" t="str"/>
      <x:c r="G9" s="20" t="str">
        <x:v>未关闭缺陷</x:v>
      </x:c>
      <x:c r="H9" s="53" t="str"/>
    </x:row>
    <x:row r="10">
      <x:c r="A10" s="51"/>
      <x:c r="B10" s="21" t="n">
        <x:f>COUNTA('条件合理性'!A2:A500)</x:f>
        <x:v>106</x:v>
      </x:c>
      <x:c r="C10" s="27"/>
      <x:c r="D10" s="21" t="n">
        <x:f>COUNTIF('条件合理性'!Q2:Q500,"合理")+COUNTIF('条件合理性'!Q2:Q500,"偏易")+COUNTIF('条件合理性'!Q2:Q500,"偏难")+COUNTIF('条件合理性'!Q2:Q500,"需调整")</x:f>
        <x:v>0</x:v>
      </x:c>
      <x:c r="E10" s="27"/>
      <x:c r="F10" s="21" t="n">
        <x:f>COUNTA('流程与边界'!A2:A500)</x:f>
        <x:v>211</x:v>
      </x:c>
      <x:c r="G10" s="27"/>
      <x:c r="H10" s="54" t="n">
        <x:f>COUNTIFS('缺陷记录'!A2:A300,"&lt;&gt;",'缺陷记录'!L2:L300,"&lt;&gt;已关闭")</x:f>
        <x:v>0</x:v>
      </x:c>
    </x:row>
    <x:row r="11">
      <x:c r="A11" s="51"/>
      <x:c r="B11" s="27"/>
      <x:c r="C11" s="27"/>
      <x:c r="D11" s="27"/>
      <x:c r="E11" s="27"/>
      <x:c r="F11" s="27"/>
      <x:c r="G11" s="27"/>
      <x:c r="H11" s="50"/>
    </x:row>
    <x:row r="12">
      <x:c r="A12" s="55" t="str">
        <x:v>执行顺序</x:v>
      </x:c>
      <x:c r="B12" s="27"/>
      <x:c r="C12" s="27"/>
      <x:c r="D12" s="27"/>
      <x:c r="E12" s="27"/>
      <x:c r="F12" s="27"/>
      <x:c r="G12" s="27"/>
      <x:c r="H12" s="50"/>
    </x:row>
    <x:row r="13" ht="30" customHeight="1">
      <x:c r="A13" s="56" t="str">
        <x:v>1</x:v>
      </x:c>
      <x:c r="B13" s="29" t="str">
        <x:v>先按“事件与分支”逐项构造阵容、战绩和前置事件，验证是否可触发。</x:v>
      </x:c>
      <x:c r="C13" s="29" t="str"/>
      <x:c r="D13" s="29" t="str"/>
      <x:c r="E13" s="29" t="str"/>
      <x:c r="F13" s="29" t="str"/>
      <x:c r="G13" s="29" t="str"/>
      <x:c r="H13" s="57" t="str"/>
    </x:row>
    <x:row r="14" ht="30" customHeight="1">
      <x:c r="A14" s="56" t="str">
        <x:v>2</x:v>
      </x:c>
      <x:c r="B14" s="29" t="str">
        <x:v>在“条件合理性”记录多次模拟观察值，重点检查长期过难、过易和互相冲突的条件。</x:v>
      </x:c>
      <x:c r="C14" s="29" t="str"/>
      <x:c r="D14" s="29" t="str"/>
      <x:c r="E14" s="29" t="str"/>
      <x:c r="F14" s="29" t="str"/>
      <x:c r="G14" s="29" t="str"/>
      <x:c r="H14" s="57" t="str"/>
    </x:row>
    <x:row r="15" ht="30" customHeight="1">
      <x:c r="A15" s="56" t="str">
        <x:v>3</x:v>
      </x:c>
      <x:c r="B15" s="29" t="str">
        <x:v>按“流程与边界”检查未到赛季、仅差1分广告、忽略、第56场自动失效和存档恢复。</x:v>
      </x:c>
      <x:c r="C15" s="29" t="str"/>
      <x:c r="D15" s="29" t="str"/>
      <x:c r="E15" s="29" t="str"/>
      <x:c r="F15" s="29" t="str"/>
      <x:c r="G15" s="29" t="str"/>
      <x:c r="H15" s="57" t="str"/>
    </x:row>
    <x:row r="16" ht="30" customHeight="1">
      <x:c r="A16" s="56" t="str">
        <x:v>4</x:v>
      </x:c>
      <x:c r="B16" s="29" t="str">
        <x:v>发现问题后在“缺陷记录”填写缺陷编号，并回填对应测试用例的缺陷编号。</x:v>
      </x:c>
      <x:c r="C16" s="29" t="str"/>
      <x:c r="D16" s="29" t="str"/>
      <x:c r="E16" s="29" t="str"/>
      <x:c r="F16" s="29" t="str"/>
      <x:c r="G16" s="29" t="str"/>
      <x:c r="H16" s="57" t="str"/>
    </x:row>
    <x:row r="17" ht="30" customHeight="1">
      <x:c r="A17" s="56" t="str">
        <x:v>5</x:v>
      </x:c>
      <x:c r="B17" s="29" t="str">
        <x:v>黄色单元格为测试人员填写区域。状态与评价列均已配置下拉选项。</x:v>
      </x:c>
      <x:c r="C17" s="29" t="str"/>
      <x:c r="D17" s="29" t="str"/>
      <x:c r="E17" s="29" t="str"/>
      <x:c r="F17" s="29" t="str"/>
      <x:c r="G17" s="29" t="str"/>
      <x:c r="H17" s="57" t="str"/>
    </x:row>
    <x:row r="18" ht="30" customHeight="1">
      <x:c r="A18" s="51"/>
      <x:c r="B18" s="29"/>
      <x:c r="C18" s="29"/>
      <x:c r="D18" s="29"/>
      <x:c r="E18" s="29"/>
      <x:c r="F18" s="29"/>
      <x:c r="G18" s="29"/>
      <x:c r="H18" s="57"/>
    </x:row>
    <x:row r="19" ht="30" customHeight="1">
      <x:c r="A19" s="58" t="str">
        <x:v>重点判定规则</x:v>
      </x:c>
      <x:c r="B19" s="29"/>
      <x:c r="C19" s="29"/>
      <x:c r="D19" s="29"/>
      <x:c r="E19" s="29"/>
      <x:c r="F19" s="29"/>
      <x:c r="G19" s="29"/>
      <x:c r="H19" s="57"/>
    </x:row>
    <x:row r="20" ht="30" customHeight="1">
      <x:c r="A20" s="59" t="str">
        <x:v>必须条件</x:v>
      </x:c>
      <x:c r="B20" s="29" t="str">
        <x:v>必须全部达成，广告不能解锁必须条件。</x:v>
      </x:c>
      <x:c r="C20" s="29" t="str"/>
      <x:c r="D20" s="29" t="str"/>
      <x:c r="E20" s="29" t="str"/>
      <x:c r="F20" s="29" t="str"/>
      <x:c r="G20" s="29" t="str"/>
      <x:c r="H20" s="57" t="str"/>
    </x:row>
    <x:row r="21" ht="30" customHeight="1">
      <x:c r="A21" s="59" t="str">
        <x:v>计分条件</x:v>
      </x:c>
      <x:c r="B21" s="29" t="str">
        <x:v>达到事件/分支所需分数即可触发，不要求全部计分条件都满足。</x:v>
      </x:c>
      <x:c r="C21" s="29" t="str"/>
      <x:c r="D21" s="29" t="str"/>
      <x:c r="E21" s="29" t="str"/>
      <x:c r="F21" s="29" t="str"/>
      <x:c r="G21" s="29" t="str"/>
      <x:c r="H21" s="57" t="str"/>
    </x:row>
    <x:row r="22" ht="30" customHeight="1">
      <x:c r="A22" s="59" t="str">
        <x:v>广告补条件</x:v>
      </x:c>
      <x:c r="B22" s="29" t="str">
        <x:v>只在当前赛季、交易截止日前、必须条件全部达成且计分只差1点时出现。</x:v>
      </x:c>
      <x:c r="C22" s="29" t="str"/>
      <x:c r="D22" s="29" t="str"/>
      <x:c r="E22" s="29" t="str"/>
      <x:c r="F22" s="29" t="str"/>
      <x:c r="G22" s="29" t="str"/>
      <x:c r="H22" s="57" t="str"/>
    </x:row>
    <x:row r="23" ht="30" customHeight="1">
      <x:c r="A23" s="59" t="str">
        <x:v>忽略与失效</x:v>
      </x:c>
      <x:c r="B23" s="29" t="str">
        <x:v>主动忽略不执行普通事件变动；第56场未处理事件自动按忽略结算并失效。</x:v>
      </x:c>
      <x:c r="C23" s="29" t="str"/>
      <x:c r="D23" s="29" t="str"/>
      <x:c r="E23" s="29" t="str"/>
      <x:c r="F23" s="29" t="str"/>
      <x:c r="G23" s="29" t="str"/>
      <x:c r="H23" s="57" t="str"/>
    </x:row>
    <x:row r="24" ht="30" customHeight="1">
      <x:c r="A24" s="60" t="str">
        <x:v>模式隔离</x:v>
      </x:c>
      <x:c r="B24" s="61" t="str">
        <x:v>命定事件与广告解锁只属于平行联盟，不得写入经典模式存档。</x:v>
      </x:c>
      <x:c r="C24" s="61" t="str"/>
      <x:c r="D24" s="61" t="str"/>
      <x:c r="E24" s="61" t="str"/>
      <x:c r="F24" s="61" t="str"/>
      <x:c r="G24" s="61" t="str"/>
      <x:c r="H24" s="62" t="str"/>
    </x:row>
  </x:sheetData>
  <x:mergeCells>
    <x:mergeCell ref="A2:H2"/>
    <x:mergeCell ref="A4:H4"/>
    <x:mergeCell ref="A12:H12"/>
    <x:mergeCell ref="B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  <x:mergeCell ref="B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59E0B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24" hidden="0" customWidth="1"/>
    <x:col min="5" max="5" width="12" hidden="0" customWidth="1"/>
    <x:col min="6" max="6" width="22" hidden="0" customWidth="1"/>
    <x:col min="7" max="7" width="22" hidden="0" customWidth="1"/>
    <x:col min="8" max="8" width="20" hidden="0" customWidth="1"/>
    <x:col min="9" max="9" width="38" hidden="0" customWidth="1"/>
    <x:col min="10" max="10" width="42" hidden="0" customWidth="1"/>
    <x:col min="11" max="11" width="9" hidden="0" customWidth="1"/>
    <x:col min="12" max="12" width="48" hidden="0" customWidth="1"/>
    <x:col min="13" max="13" width="26" hidden="0" customWidth="1"/>
    <x:col min="14" max="14" width="34" hidden="0" customWidth="1"/>
    <x:col min="15" max="15" width="34" hidden="0" customWidth="1"/>
    <x:col min="16" max="16" width="11" hidden="0" customWidth="1"/>
    <x:col min="17" max="17" width="11" hidden="0" customWidth="1"/>
    <x:col min="18" max="18" width="13" hidden="0" customWidth="1"/>
    <x:col min="19" max="19" width="13" hidden="0" customWidth="1"/>
    <x:col min="20" max="20" width="30" hidden="0" customWidth="1"/>
  </x:cols>
  <x:sheetData>
    <x:row r="1" ht="30" customHeight="1">
      <x:c r="A1" s="35" t="str">
        <x:v>用例ID</x:v>
      </x:c>
      <x:c r="B1" s="36" t="str">
        <x:v>赛季</x:v>
      </x:c>
      <x:c r="C1" s="36" t="str">
        <x:v>事件ID</x:v>
      </x:c>
      <x:c r="D1" s="36" t="str">
        <x:v>事件名称</x:v>
      </x:c>
      <x:c r="E1" s="36" t="str">
        <x:v>类别</x:v>
      </x:c>
      <x:c r="F1" s="36" t="str">
        <x:v>分支ID</x:v>
      </x:c>
      <x:c r="G1" s="36" t="str">
        <x:v>分支名称</x:v>
      </x:c>
      <x:c r="H1" s="36" t="str">
        <x:v>处理方式</x:v>
      </x:c>
      <x:c r="I1" s="36" t="str">
        <x:v>必须条件</x:v>
      </x:c>
      <x:c r="J1" s="36" t="str">
        <x:v>计分条件</x:v>
      </x:c>
      <x:c r="K1" s="36" t="str">
        <x:v>所需分</x:v>
      </x:c>
      <x:c r="L1" s="36" t="str">
        <x:v>预期结果</x:v>
      </x:c>
      <x:c r="M1" s="36" t="str">
        <x:v>前置事件/分支</x:v>
      </x:c>
      <x:c r="N1" s="36" t="str">
        <x:v>测试准备记录</x:v>
      </x:c>
      <x:c r="O1" s="36" t="str">
        <x:v>实际结果</x:v>
      </x:c>
      <x:c r="P1" s="36" t="str">
        <x:v>状态</x:v>
      </x:c>
      <x:c r="Q1" s="36" t="str">
        <x:v>测试人</x:v>
      </x:c>
      <x:c r="R1" s="36" t="str">
        <x:v>测试日期</x:v>
      </x:c>
      <x:c r="S1" s="36" t="str">
        <x:v>缺陷编号</x:v>
      </x:c>
      <x:c r="T1" s="37" t="str">
        <x:v>备注</x:v>
      </x:c>
    </x:row>
    <x:row r="2" ht="48" customHeight="1">
      <x:c r="A2" s="31" t="str">
        <x:v>EV-001</x:v>
      </x:c>
      <x:c r="B2" s="31" t="n">
        <x:v>2010</x:v>
      </x:c>
      <x:c r="C2" s="31" t="str">
        <x:v>decision_1</x:v>
      </x:c>
      <x:c r="D2" s="31" t="str">
        <x:v>决定一：南海岸集结</x:v>
      </x:c>
      <x:c r="E2" s="31" t="str">
        <x:v>决定</x:v>
      </x:c>
      <x:c r="F2" s="31" t="str">
        <x:v>south_beach</x:v>
      </x:c>
      <x:c r="G2" s="31" t="str">
        <x:v>南海岸三巨头</x:v>
      </x:c>
      <x:c r="H2" s="31" t="str">
        <x:v>主动触发</x:v>
      </x:c>
      <x:c r="I2" s="39" t="str">
        <x:v>勒布朗·詹姆斯此前尚未夺冠
德维恩·韦德效力于迈阿密</x:v>
      </x:c>
      <x:c r="J2" s="39" t="str">
        <x:v>迈阿密球队方向为争冠或季后赛竞争（+1）（+1）
勒布朗·詹姆斯所在球队上赛季不超过59胜（+1）（+1）
迈阿密上赛季至少45胜（+1）（+1）</x:v>
      </x:c>
      <x:c r="K2" s="39" t="n">
        <x:v>3</x:v>
      </x:c>
      <x:c r="L2" s="39" t="str">
        <x:v>勒布朗·詹姆斯与克里斯·波什加盟迈阿密，三位核心进入三年稳定期。</x:v>
      </x:c>
      <x:c r="M2" s="39" t="str">
        <x:v>无</x:v>
      </x:c>
      <x:c r="N2" s="40" t="str"/>
      <x:c r="O2" s="40" t="str"/>
      <x:c r="P2" s="38" t="str">
        <x:v>未开始</x:v>
      </x:c>
      <x:c r="Q2" s="38" t="str"/>
      <x:c r="R2" s="41"/>
      <x:c r="S2" s="38" t="str"/>
      <x:c r="T2" s="38" t="str"/>
    </x:row>
    <x:row r="3" ht="48" customHeight="1">
      <x:c r="A3" s="31" t="str">
        <x:v>EV-002</x:v>
      </x:c>
      <x:c r="B3" s="31" t="n">
        <x:v>2010</x:v>
      </x:c>
      <x:c r="C3" s="31" t="str">
        <x:v>decision_1</x:v>
      </x:c>
      <x:c r="D3" s="31" t="str">
        <x:v>决定一：南海岸集结</x:v>
      </x:c>
      <x:c r="E3" s="31" t="str">
        <x:v>决定</x:v>
      </x:c>
      <x:c r="F3" s="31" t="str">
        <x:v>broadway</x:v>
      </x:c>
      <x:c r="G3" s="31" t="str">
        <x:v>百老汇巨星</x:v>
      </x:c>
      <x:c r="H3" s="31" t="str">
        <x:v>主动触发</x:v>
      </x:c>
      <x:c r="I3" s="39" t="str">
        <x:v>勒布朗·詹姆斯此前尚未夺冠</x:v>
      </x:c>
      <x:c r="J3" s="39" t="str">
        <x:v>纽约球队方向为观望调整或重建（+1）（+1）
纽约88+综评球员不超过1人（+1）（+1）
勒布朗·詹姆斯所在球队上赛季不超过55胜（+1）（+1）</x:v>
      </x:c>
      <x:c r="K3" s="39" t="n">
        <x:v>3</x:v>
      </x:c>
      <x:c r="L3" s="39" t="str">
        <x:v>勒布朗·詹姆斯加盟纽约，麦迪逊广场花园迎来新的建队核心。</x:v>
      </x:c>
      <x:c r="M3" s="39" t="str">
        <x:v>无</x:v>
      </x:c>
      <x:c r="N3" s="40" t="str"/>
      <x:c r="O3" s="40" t="str"/>
      <x:c r="P3" s="38" t="str">
        <x:v>未开始</x:v>
      </x:c>
      <x:c r="Q3" s="38" t="str"/>
      <x:c r="R3" s="41"/>
      <x:c r="S3" s="38" t="str"/>
      <x:c r="T3" s="38" t="str"/>
    </x:row>
    <x:row r="4" ht="48" customHeight="1">
      <x:c r="A4" s="31" t="str">
        <x:v>EV-003</x:v>
      </x:c>
      <x:c r="B4" s="31" t="n">
        <x:v>2010</x:v>
      </x:c>
      <x:c r="C4" s="31" t="str">
        <x:v>decision_1</x:v>
      </x:c>
      <x:c r="D4" s="31" t="str">
        <x:v>决定一：南海岸集结</x:v>
      </x:c>
      <x:c r="E4" s="31" t="str">
        <x:v>决定</x:v>
      </x:c>
      <x:c r="F4" s="31" t="str">
        <x:v>stay_cavaliers</x:v>
      </x:c>
      <x:c r="G4" s="31" t="str">
        <x:v>留守骑士</x:v>
      </x:c>
      <x:c r="H4" s="31" t="str">
        <x:v>忽略或截止日自动后备</x:v>
      </x:c>
      <x:c r="I4" s="39" t="str">
        <x:v>勒布朗·詹姆斯此前尚未夺冠</x:v>
      </x:c>
      <x:c r="J4" s="39" t="str">
        <x:v>无</x:v>
      </x:c>
      <x:c r="K4" s="39" t="n">
        <x:v>0</x:v>
      </x:c>
      <x:c r="L4" s="39" t="str">
        <x:v>勒布朗·詹姆斯留在克里夫兰，继续带领家乡球队冲击冠军。</x:v>
      </x:c>
      <x:c r="M4" s="39" t="str">
        <x:v>无</x:v>
      </x:c>
      <x:c r="N4" s="40" t="str"/>
      <x:c r="O4" s="40" t="str"/>
      <x:c r="P4" s="38" t="str">
        <x:v>未开始</x:v>
      </x:c>
      <x:c r="Q4" s="38" t="str"/>
      <x:c r="R4" s="41"/>
      <x:c r="S4" s="38" t="str"/>
      <x:c r="T4" s="38" t="str"/>
    </x:row>
    <x:row r="5" ht="48" customHeight="1">
      <x:c r="A5" s="31" t="str">
        <x:v>EV-004</x:v>
      </x:c>
      <x:c r="B5" s="31" t="n">
        <x:v>2011</x:v>
      </x:c>
      <x:c r="C5" s="31" t="str">
        <x:v>melo_new_york</x:v>
      </x:c>
      <x:c r="D5" s="31" t="str">
        <x:v>甜瓜奔赴纽约</x:v>
      </x:c>
      <x:c r="E5" s="31" t="str">
        <x:v>重磅交易</x:v>
      </x:c>
      <x:c r="F5" s="31" t="str"/>
      <x:c r="G5" s="31" t="str">
        <x:v>无分支</x:v>
      </x:c>
      <x:c r="H5" s="31" t="str">
        <x:v>主动触发</x:v>
      </x:c>
      <x:c r="I5" s="39" t="str">
        <x:v>“决定一”未选择“百老汇巨星”分支</x:v>
      </x:c>
      <x:c r="J5" s="39" t="str">
        <x:v>无</x:v>
      </x:c>
      <x:c r="K5" s="39" t="n">
        <x:v>0</x:v>
      </x:c>
      <x:c r="L5" s="39" t="str">
        <x:v>卡梅隆·安东尼加盟纽约，成为麦迪逊广场花园的新核心。</x:v>
      </x:c>
      <x:c r="M5" s="39" t="str">
        <x:v>decision_1 / broadway</x:v>
      </x:c>
      <x:c r="N5" s="40" t="str"/>
      <x:c r="O5" s="40" t="str"/>
      <x:c r="P5" s="38" t="str">
        <x:v>未开始</x:v>
      </x:c>
      <x:c r="Q5" s="38" t="str"/>
      <x:c r="R5" s="41"/>
      <x:c r="S5" s="38" t="str"/>
      <x:c r="T5" s="38" t="str"/>
    </x:row>
    <x:row r="6" ht="48" customHeight="1">
      <x:c r="A6" s="31" t="str">
        <x:v>EV-005</x:v>
      </x:c>
      <x:c r="B6" s="31" t="n">
        <x:v>2011</x:v>
      </x:c>
      <x:c r="C6" s="31" t="str">
        <x:v>cp3_lakers</x:v>
      </x:c>
      <x:c r="D6" s="31" t="str">
        <x:v>被叫停的交易</x:v>
      </x:c>
      <x:c r="E6" s="31" t="str">
        <x:v>重磅交易</x:v>
      </x:c>
      <x:c r="F6" s="31" t="str"/>
      <x:c r="G6" s="31" t="str">
        <x:v>无分支</x:v>
      </x:c>
      <x:c r="H6" s="31" t="str">
        <x:v>主动触发</x:v>
      </x:c>
      <x:c r="I6" s="39" t="str">
        <x:v>科比·布莱恩特效力于洛杉矶湖人
克里斯·保罗此前尚未夺冠</x:v>
      </x:c>
      <x:c r="J6" s="39" t="str">
        <x:v>洛杉矶湖人上赛季至少53胜（+1）（+1）
洛杉矶湖人88+综评球员不超过2人（+1）（+1）
克里斯·保罗所在球队上赛季不超过50胜（+1）（+1）</x:v>
      </x:c>
      <x:c r="K6" s="39" t="n">
        <x:v>3</x:v>
      </x:c>
      <x:c r="L6" s="39" t="str">
        <x:v>交易在平行时空顺利完成，克里斯·保罗加盟洛杉矶湖人，与科比组成顶级后场。</x:v>
      </x:c>
      <x:c r="M6" s="39" t="str">
        <x:v>无</x:v>
      </x:c>
      <x:c r="N6" s="40" t="str"/>
      <x:c r="O6" s="40" t="str"/>
      <x:c r="P6" s="38" t="str">
        <x:v>未开始</x:v>
      </x:c>
      <x:c r="Q6" s="38" t="str"/>
      <x:c r="R6" s="41"/>
      <x:c r="S6" s="38" t="str"/>
      <x:c r="T6" s="38" t="str"/>
    </x:row>
    <x:row r="7" ht="48" customHeight="1">
      <x:c r="A7" s="31" t="str">
        <x:v>EV-006</x:v>
      </x:c>
      <x:c r="B7" s="31" t="n">
        <x:v>2012</x:v>
      </x:c>
      <x:c r="C7" s="31" t="str">
        <x:v>harden_houston</x:v>
      </x:c>
      <x:c r="D7" s="31" t="str">
        <x:v>大胡子独当一面</x:v>
      </x:c>
      <x:c r="E7" s="31" t="str">
        <x:v>重磅交易</x:v>
      </x:c>
      <x:c r="F7" s="31" t="str"/>
      <x:c r="G7" s="31" t="str">
        <x:v>无分支</x:v>
      </x:c>
      <x:c r="H7" s="31" t="str">
        <x:v>主动触发</x:v>
      </x:c>
      <x:c r="I7" s="39" t="str">
        <x:v>无</x:v>
      </x:c>
      <x:c r="J7" s="39" t="str">
        <x:v>休斯敦球队方向为争冠、季后赛竞争或观望调整（+1）
休斯敦88+综评球员不超过2人（+1）
詹姆斯·哈登所在球队上赛季不超过55胜（+1）</x:v>
      </x:c>
      <x:c r="K7" s="39" t="n">
        <x:v>3</x:v>
      </x:c>
      <x:c r="L7" s="39" t="str">
        <x:v>詹姆斯·哈登加盟休斯敦并获得建队核心地位。</x:v>
      </x:c>
      <x:c r="M7" s="39" t="str">
        <x:v>无</x:v>
      </x:c>
      <x:c r="N7" s="40" t="str"/>
      <x:c r="O7" s="40" t="str"/>
      <x:c r="P7" s="38" t="str">
        <x:v>未开始</x:v>
      </x:c>
      <x:c r="Q7" s="38" t="str"/>
      <x:c r="R7" s="41"/>
      <x:c r="S7" s="38" t="str"/>
      <x:c r="T7" s="38" t="str"/>
    </x:row>
    <x:row r="8" ht="48" customHeight="1">
      <x:c r="A8" s="31" t="str">
        <x:v>EV-007</x:v>
      </x:c>
      <x:c r="B8" s="31" t="n">
        <x:v>2013</x:v>
      </x:c>
      <x:c r="C8" s="31" t="str">
        <x:v>howard_houston</x:v>
      </x:c>
      <x:c r="D8" s="31" t="str">
        <x:v>魔兽空降休斯敦</x:v>
      </x:c>
      <x:c r="E8" s="31" t="str">
        <x:v>自由市场</x:v>
      </x:c>
      <x:c r="F8" s="31" t="str"/>
      <x:c r="G8" s="31" t="str">
        <x:v>无分支</x:v>
      </x:c>
      <x:c r="H8" s="31" t="str">
        <x:v>主动触发</x:v>
      </x:c>
      <x:c r="I8" s="39" t="str">
        <x:v>已完成“大胡子独当一面”</x:v>
      </x:c>
      <x:c r="J8" s="39" t="str">
        <x:v>休斯敦88+综评球员不超过2人（+1）（+1）
德怀特·霍华德所在球队上赛季不超过50胜（+1）（+1）</x:v>
      </x:c>
      <x:c r="K8" s="39" t="n">
        <x:v>2</x:v>
      </x:c>
      <x:c r="L8" s="39" t="str">
        <x:v>德怀特·霍华德加盟休斯敦，球队内线实力得到提升。</x:v>
      </x:c>
      <x:c r="M8" s="39" t="str">
        <x:v>harden_houston</x:v>
      </x:c>
      <x:c r="N8" s="40" t="str"/>
      <x:c r="O8" s="40" t="str"/>
      <x:c r="P8" s="38" t="str">
        <x:v>未开始</x:v>
      </x:c>
      <x:c r="Q8" s="38" t="str"/>
      <x:c r="R8" s="41"/>
      <x:c r="S8" s="38" t="str"/>
      <x:c r="T8" s="38" t="str"/>
    </x:row>
    <x:row r="9" ht="48" customHeight="1">
      <x:c r="A9" s="31" t="str">
        <x:v>EV-008</x:v>
      </x:c>
      <x:c r="B9" s="31" t="n">
        <x:v>2014</x:v>
      </x:c>
      <x:c r="C9" s="31" t="str">
        <x:v>decision_2</x:v>
      </x:c>
      <x:c r="D9" s="31" t="str">
        <x:v>决定二：回到故乡</x:v>
      </x:c>
      <x:c r="E9" s="31" t="str">
        <x:v>决定</x:v>
      </x:c>
      <x:c r="F9" s="31" t="str"/>
      <x:c r="G9" s="31" t="str">
        <x:v>无分支</x:v>
      </x:c>
      <x:c r="H9" s="31" t="str">
        <x:v>主动触发</x:v>
      </x:c>
      <x:c r="I9" s="39" t="str">
        <x:v>已完成“决定一”，且未选择“留守骑士”</x:v>
      </x:c>
      <x:c r="J9" s="39" t="str">
        <x:v>克里夫兰球队方向为争冠、季后赛竞争或观望调整（+1）
克里夫兰88+综评球员不超过2人（+1）
勒布朗·詹姆斯所在球队上赛季不超过55胜（+1）</x:v>
      </x:c>
      <x:c r="K9" s="39" t="n">
        <x:v>3</x:v>
      </x:c>
      <x:c r="L9" s="39" t="str">
        <x:v>勒布朗·詹姆斯回归克里夫兰，重新成为球队核心。</x:v>
      </x:c>
      <x:c r="M9" s="39" t="str">
        <x:v>decision_1 / stay_cavaliers</x:v>
      </x:c>
      <x:c r="N9" s="40" t="str"/>
      <x:c r="O9" s="40" t="str"/>
      <x:c r="P9" s="38" t="str">
        <x:v>未开始</x:v>
      </x:c>
      <x:c r="Q9" s="38" t="str"/>
      <x:c r="R9" s="41"/>
      <x:c r="S9" s="38" t="str"/>
      <x:c r="T9" s="38" t="str"/>
    </x:row>
    <x:row r="10" ht="48" customHeight="1">
      <x:c r="A10" s="31" t="str">
        <x:v>EV-009</x:v>
      </x:c>
      <x:c r="B10" s="31" t="n">
        <x:v>2014</x:v>
      </x:c>
      <x:c r="C10" s="31" t="str">
        <x:v>love_cleveland</x:v>
      </x:c>
      <x:c r="D10" s="31" t="str">
        <x:v>三巨头最后一块拼图</x:v>
      </x:c>
      <x:c r="E10" s="31" t="str">
        <x:v>重磅交易</x:v>
      </x:c>
      <x:c r="F10" s="31" t="str"/>
      <x:c r="G10" s="31" t="str">
        <x:v>无分支</x:v>
      </x:c>
      <x:c r="H10" s="31" t="str">
        <x:v>主动触发</x:v>
      </x:c>
      <x:c r="I10" s="39" t="str">
        <x:v>已完成“决定二”
凯里·欧文效力于克里夫兰
勒布朗·詹姆斯效力于克里夫兰</x:v>
      </x:c>
      <x:c r="J10" s="39" t="str">
        <x:v>克里夫兰球队方向为争冠、季后赛竞争或观望调整（+1）
克里夫兰88+综评球员不超过2人（+1）
凯文·乐福所在球队上赛季不超过55胜（+1）</x:v>
      </x:c>
      <x:c r="K10" s="39" t="n">
        <x:v>3</x:v>
      </x:c>
      <x:c r="L10" s="39" t="str">
        <x:v>凯文·乐福加盟克里夫兰，与球队核心共同冲击冠军。</x:v>
      </x:c>
      <x:c r="M10" s="39" t="str">
        <x:v>decision_2</x:v>
      </x:c>
      <x:c r="N10" s="40" t="str"/>
      <x:c r="O10" s="40" t="str"/>
      <x:c r="P10" s="38" t="str">
        <x:v>未开始</x:v>
      </x:c>
      <x:c r="Q10" s="38" t="str"/>
      <x:c r="R10" s="41"/>
      <x:c r="S10" s="38" t="str"/>
      <x:c r="T10" s="38" t="str"/>
    </x:row>
    <x:row r="11" ht="48" customHeight="1">
      <x:c r="A11" s="31" t="str">
        <x:v>EV-010</x:v>
      </x:c>
      <x:c r="B11" s="31" t="n">
        <x:v>2015</x:v>
      </x:c>
      <x:c r="C11" s="31" t="str">
        <x:v>aldridge_spurs</x:v>
      </x:c>
      <x:c r="D11" s="31" t="str">
        <x:v>马刺迎来全明星内线</x:v>
      </x:c>
      <x:c r="E11" s="31" t="str">
        <x:v>自由市场</x:v>
      </x:c>
      <x:c r="F11" s="31" t="str"/>
      <x:c r="G11" s="31" t="str">
        <x:v>无分支</x:v>
      </x:c>
      <x:c r="H11" s="31" t="str">
        <x:v>主动触发</x:v>
      </x:c>
      <x:c r="I11" s="39" t="str">
        <x:v>无</x:v>
      </x:c>
      <x:c r="J11" s="39" t="str">
        <x:v>圣安东尼奥球队方向为争冠、季后赛竞争或观望调整（+1）
圣安东尼奥88+综评球员不超过2人（+1）
拉马库斯·阿尔德里奇所在球队上赛季不超过55胜（+1）</x:v>
      </x:c>
      <x:c r="K11" s="39" t="n">
        <x:v>3</x:v>
      </x:c>
      <x:c r="L11" s="39" t="str">
        <x:v>拉马库斯·阿尔德里奇加盟圣安东尼奥。</x:v>
      </x:c>
      <x:c r="M11" s="39" t="str">
        <x:v>无</x:v>
      </x:c>
      <x:c r="N11" s="40" t="str"/>
      <x:c r="O11" s="40" t="str"/>
      <x:c r="P11" s="38" t="str">
        <x:v>未开始</x:v>
      </x:c>
      <x:c r="Q11" s="38" t="str"/>
      <x:c r="R11" s="41"/>
      <x:c r="S11" s="38" t="str"/>
      <x:c r="T11" s="38" t="str"/>
    </x:row>
    <x:row r="12" ht="48" customHeight="1">
      <x:c r="A12" s="31" t="str">
        <x:v>EV-011</x:v>
      </x:c>
      <x:c r="B12" s="31" t="n">
        <x:v>2016</x:v>
      </x:c>
      <x:c r="C12" s="31" t="str">
        <x:v>durant_warriors</x:v>
      </x:c>
      <x:c r="D12" s="31" t="str">
        <x:v>杜兰特的抉择</x:v>
      </x:c>
      <x:c r="E12" s="31" t="str">
        <x:v>决定</x:v>
      </x:c>
      <x:c r="F12" s="31" t="str">
        <x:v>bay_area</x:v>
      </x:c>
      <x:c r="G12" s="31" t="str">
        <x:v>死神降临湾区</x:v>
      </x:c>
      <x:c r="H12" s="31" t="str">
        <x:v>主动触发</x:v>
      </x:c>
      <x:c r="I12" s="39" t="str">
        <x:v>凯文·杜兰特此前尚未夺冠
斯蒂芬·库里效力于金州</x:v>
      </x:c>
      <x:c r="J12" s="39" t="str">
        <x:v>金州球队方向为争冠或季后赛竞争（+1）（+1）
金州上赛季至少55胜（+1）（+1）</x:v>
      </x:c>
      <x:c r="K12" s="39" t="n">
        <x:v>2</x:v>
      </x:c>
      <x:c r="L12" s="39" t="str">
        <x:v>凯文·杜兰特加盟金州，与斯蒂芬·库里组成历史级双核。</x:v>
      </x:c>
      <x:c r="M12" s="39" t="str">
        <x:v>无</x:v>
      </x:c>
      <x:c r="N12" s="40" t="str"/>
      <x:c r="O12" s="40" t="str"/>
      <x:c r="P12" s="38" t="str">
        <x:v>未开始</x:v>
      </x:c>
      <x:c r="Q12" s="38" t="str"/>
      <x:c r="R12" s="41"/>
      <x:c r="S12" s="38" t="str"/>
      <x:c r="T12" s="38" t="str"/>
    </x:row>
    <x:row r="13" ht="48" customHeight="1">
      <x:c r="A13" s="31" t="str">
        <x:v>EV-012</x:v>
      </x:c>
      <x:c r="B13" s="31" t="n">
        <x:v>2016</x:v>
      </x:c>
      <x:c r="C13" s="31" t="str">
        <x:v>durant_warriors</x:v>
      </x:c>
      <x:c r="D13" s="31" t="str">
        <x:v>杜兰特的抉择</x:v>
      </x:c>
      <x:c r="E13" s="31" t="str">
        <x:v>决定</x:v>
      </x:c>
      <x:c r="F13" s="31" t="str">
        <x:v>boston_project</x:v>
      </x:c>
      <x:c r="G13" s="31" t="str">
        <x:v>绿军复兴计划</x:v>
      </x:c>
      <x:c r="H13" s="31" t="str">
        <x:v>主动触发</x:v>
      </x:c>
      <x:c r="I13" s="39" t="str">
        <x:v>凯文·杜兰特此前尚未夺冠</x:v>
      </x:c>
      <x:c r="J13" s="39" t="str">
        <x:v>波士顿球队方向为争冠或季后赛竞争（+2）（+2）
波士顿88+综评球员不超过1人（+1）（+1）
凯文·杜兰特所在球队上赛季不超过55胜（+1）（+1）</x:v>
      </x:c>
      <x:c r="K13" s="39" t="n">
        <x:v>3</x:v>
      </x:c>
      <x:c r="L13" s="39" t="str">
        <x:v>凯文·杜兰特加盟波士顿，成为绿军复兴计划的头号核心。</x:v>
      </x:c>
      <x:c r="M13" s="39" t="str">
        <x:v>无</x:v>
      </x:c>
      <x:c r="N13" s="40" t="str"/>
      <x:c r="O13" s="40" t="str"/>
      <x:c r="P13" s="38" t="str">
        <x:v>未开始</x:v>
      </x:c>
      <x:c r="Q13" s="38" t="str"/>
      <x:c r="R13" s="41"/>
      <x:c r="S13" s="38" t="str"/>
      <x:c r="T13" s="38" t="str"/>
    </x:row>
    <x:row r="14" ht="48" customHeight="1">
      <x:c r="A14" s="31" t="str">
        <x:v>EV-013</x:v>
      </x:c>
      <x:c r="B14" s="31" t="n">
        <x:v>2016</x:v>
      </x:c>
      <x:c r="C14" s="31" t="str">
        <x:v>durant_warriors</x:v>
      </x:c>
      <x:c r="D14" s="31" t="str">
        <x:v>杜兰特的抉择</x:v>
      </x:c>
      <x:c r="E14" s="31" t="str">
        <x:v>决定</x:v>
      </x:c>
      <x:c r="F14" s="31" t="str">
        <x:v>thunder_return</x:v>
      </x:c>
      <x:c r="G14" s="31" t="str">
        <x:v>雷霆最后一舞</x:v>
      </x:c>
      <x:c r="H14" s="31" t="str">
        <x:v>主动触发</x:v>
      </x:c>
      <x:c r="I14" s="39" t="str">
        <x:v>凯文·杜兰特此前尚未夺冠</x:v>
      </x:c>
      <x:c r="J14" s="39" t="str">
        <x:v>俄克拉荷马上赛季至少50胜（+1）（+1）
俄克拉荷马球队方向为争冠或季后赛竞争（+1）（+1）</x:v>
      </x:c>
      <x:c r="K14" s="39" t="n">
        <x:v>2</x:v>
      </x:c>
      <x:c r="L14" s="39" t="str">
        <x:v>凯文·杜兰特留守俄克拉荷马，与威斯布鲁克继续冲击冠军。</x:v>
      </x:c>
      <x:c r="M14" s="39" t="str">
        <x:v>无</x:v>
      </x:c>
      <x:c r="N14" s="40" t="str"/>
      <x:c r="O14" s="40" t="str"/>
      <x:c r="P14" s="38" t="str">
        <x:v>未开始</x:v>
      </x:c>
      <x:c r="Q14" s="38" t="str"/>
      <x:c r="R14" s="41"/>
      <x:c r="S14" s="38" t="str"/>
      <x:c r="T14" s="38" t="str"/>
    </x:row>
    <x:row r="15" ht="48" customHeight="1">
      <x:c r="A15" s="31" t="str">
        <x:v>EV-014</x:v>
      </x:c>
      <x:c r="B15" s="31" t="n">
        <x:v>2017</x:v>
      </x:c>
      <x:c r="C15" s="31" t="str">
        <x:v>cp3_houston</x:v>
      </x:c>
      <x:c r="D15" s="31" t="str">
        <x:v>灯泡组合成军</x:v>
      </x:c>
      <x:c r="E15" s="31" t="str">
        <x:v>重磅交易</x:v>
      </x:c>
      <x:c r="F15" s="31" t="str"/>
      <x:c r="G15" s="31" t="str">
        <x:v>无分支</x:v>
      </x:c>
      <x:c r="H15" s="31" t="str">
        <x:v>主动触发</x:v>
      </x:c>
      <x:c r="I15" s="39" t="str">
        <x:v>已完成“大胡子独当一面”，且詹姆斯·哈登仍效力于休斯敦</x:v>
      </x:c>
      <x:c r="J15" s="39" t="str">
        <x:v>休斯敦球队方向为争冠或季后赛竞争（+1）（+1）
休斯敦上赛季至少45胜（+1）（+1）
休斯敦88+综评球员不超过2人（+1）（+1）</x:v>
      </x:c>
      <x:c r="K15" s="39" t="n">
        <x:v>3</x:v>
      </x:c>
      <x:c r="L15" s="39" t="str">
        <x:v>克里斯·保罗加盟休斯敦，与哈登共同进入争冠窗口。</x:v>
      </x:c>
      <x:c r="M15" s="39" t="str">
        <x:v>harden_houston</x:v>
      </x:c>
      <x:c r="N15" s="40" t="str"/>
      <x:c r="O15" s="40" t="str"/>
      <x:c r="P15" s="38" t="str">
        <x:v>未开始</x:v>
      </x:c>
      <x:c r="Q15" s="38" t="str"/>
      <x:c r="R15" s="41"/>
      <x:c r="S15" s="38" t="str"/>
      <x:c r="T15" s="38" t="str"/>
    </x:row>
    <x:row r="16" ht="48" customHeight="1">
      <x:c r="A16" s="31" t="str">
        <x:v>EV-015</x:v>
      </x:c>
      <x:c r="B16" s="31" t="n">
        <x:v>2017</x:v>
      </x:c>
      <x:c r="C16" s="31" t="str">
        <x:v>kyrie_boston</x:v>
      </x:c>
      <x:c r="D16" s="31" t="str">
        <x:v>欧文接管绿军</x:v>
      </x:c>
      <x:c r="E16" s="31" t="str">
        <x:v>重磅交易</x:v>
      </x:c>
      <x:c r="F16" s="31" t="str"/>
      <x:c r="G16" s="31" t="str">
        <x:v>无分支</x:v>
      </x:c>
      <x:c r="H16" s="31" t="str">
        <x:v>主动触发</x:v>
      </x:c>
      <x:c r="I16" s="39" t="str">
        <x:v>无</x:v>
      </x:c>
      <x:c r="J16" s="39" t="str">
        <x:v>波士顿球队方向为争冠或季后赛竞争（+1）（+1）
波士顿88+综评球员不超过2人（+1）（+1）
波士顿上赛季至少45胜（+1）（+1）</x:v>
      </x:c>
      <x:c r="K16" s="39" t="n">
        <x:v>3</x:v>
      </x:c>
      <x:c r="L16" s="39" t="str">
        <x:v>凯里·欧文加盟波士顿，成为球队新的后场核心。</x:v>
      </x:c>
      <x:c r="M16" s="39" t="str">
        <x:v>无</x:v>
      </x:c>
      <x:c r="N16" s="40" t="str"/>
      <x:c r="O16" s="40" t="str"/>
      <x:c r="P16" s="38" t="str">
        <x:v>未开始</x:v>
      </x:c>
      <x:c r="Q16" s="38" t="str"/>
      <x:c r="R16" s="41"/>
      <x:c r="S16" s="38" t="str"/>
      <x:c r="T16" s="38" t="str"/>
    </x:row>
    <x:row r="17" ht="48" customHeight="1">
      <x:c r="A17" s="31" t="str">
        <x:v>EV-016</x:v>
      </x:c>
      <x:c r="B17" s="31" t="n">
        <x:v>2018</x:v>
      </x:c>
      <x:c r="C17" s="31" t="str">
        <x:v>lebron_lakers</x:v>
      </x:c>
      <x:c r="D17" s="31" t="str">
        <x:v>詹姆斯的下一站</x:v>
      </x:c>
      <x:c r="E17" s="31" t="str">
        <x:v>决定</x:v>
      </x:c>
      <x:c r="F17" s="31" t="str">
        <x:v>hollywood</x:v>
      </x:c>
      <x:c r="G17" s="31" t="str">
        <x:v>天选之子西游</x:v>
      </x:c>
      <x:c r="H17" s="31" t="str">
        <x:v>主动触发</x:v>
      </x:c>
      <x:c r="I17" s="39" t="str">
        <x:v>勒布朗·詹姆斯此前2个赛季均未夺冠</x:v>
      </x:c>
      <x:c r="J17" s="39" t="str">
        <x:v>洛杉矶湖人90+综评球员不超过1人（+1）（+1）
勒布朗·詹姆斯所在球队上赛季不超过55胜（+1）（+1）</x:v>
      </x:c>
      <x:c r="K17" s="39" t="n">
        <x:v>2</x:v>
      </x:c>
      <x:c r="L17" s="39" t="str">
        <x:v>勒布朗·詹姆斯加盟洛杉矶湖人，开启新的争冠篇章。</x:v>
      </x:c>
      <x:c r="M17" s="39" t="str">
        <x:v>无</x:v>
      </x:c>
      <x:c r="N17" s="40" t="str"/>
      <x:c r="O17" s="40" t="str"/>
      <x:c r="P17" s="38" t="str">
        <x:v>未开始</x:v>
      </x:c>
      <x:c r="Q17" s="38" t="str"/>
      <x:c r="R17" s="41"/>
      <x:c r="S17" s="38" t="str"/>
      <x:c r="T17" s="38" t="str"/>
    </x:row>
    <x:row r="18" ht="48" customHeight="1">
      <x:c r="A18" s="31" t="str">
        <x:v>EV-017</x:v>
      </x:c>
      <x:c r="B18" s="31" t="n">
        <x:v>2018</x:v>
      </x:c>
      <x:c r="C18" s="31" t="str">
        <x:v>lebron_lakers</x:v>
      </x:c>
      <x:c r="D18" s="31" t="str">
        <x:v>詹姆斯的下一站</x:v>
      </x:c>
      <x:c r="E18" s="31" t="str">
        <x:v>决定</x:v>
      </x:c>
      <x:c r="F18" s="31" t="str">
        <x:v>process</x:v>
      </x:c>
      <x:c r="G18" s="31" t="str">
        <x:v>加入费城过程</x:v>
      </x:c>
      <x:c r="H18" s="31" t="str">
        <x:v>主动触发</x:v>
      </x:c>
      <x:c r="I18" s="39" t="str">
        <x:v>勒布朗·詹姆斯此前2个赛季均未夺冠
乔尔·恩比德效力于费城</x:v>
      </x:c>
      <x:c r="J18" s="39" t="str">
        <x:v>费城上赛季至少45胜（+1）（+1）</x:v>
      </x:c>
      <x:c r="K18" s="39" t="n">
        <x:v>1</x:v>
      </x:c>
      <x:c r="L18" s="39" t="str">
        <x:v>勒布朗·詹姆斯加盟费城，与乔尔·恩比德组成全新的东部争冠核心。</x:v>
      </x:c>
      <x:c r="M18" s="39" t="str">
        <x:v>无</x:v>
      </x:c>
      <x:c r="N18" s="40" t="str"/>
      <x:c r="O18" s="40" t="str"/>
      <x:c r="P18" s="38" t="str">
        <x:v>未开始</x:v>
      </x:c>
      <x:c r="Q18" s="38" t="str"/>
      <x:c r="R18" s="41"/>
      <x:c r="S18" s="38" t="str"/>
      <x:c r="T18" s="38" t="str"/>
    </x:row>
    <x:row r="19" ht="48" customHeight="1">
      <x:c r="A19" s="31" t="str">
        <x:v>EV-018</x:v>
      </x:c>
      <x:c r="B19" s="31" t="n">
        <x:v>2018</x:v>
      </x:c>
      <x:c r="C19" s="31" t="str">
        <x:v>lebron_lakers</x:v>
      </x:c>
      <x:c r="D19" s="31" t="str">
        <x:v>詹姆斯的下一站</x:v>
      </x:c>
      <x:c r="E19" s="31" t="str">
        <x:v>决定</x:v>
      </x:c>
      <x:c r="F19" s="31" t="str">
        <x:v>home_guardian</x:v>
      </x:c>
      <x:c r="G19" s="31" t="str">
        <x:v>继续坚守</x:v>
      </x:c>
      <x:c r="H19" s="31" t="str">
        <x:v>忽略或截止日自动后备</x:v>
      </x:c>
      <x:c r="I19" s="39" t="str">
        <x:v>勒布朗·詹姆斯此前2个赛季均未夺冠</x:v>
      </x:c>
      <x:c r="J19" s="39" t="str">
        <x:v>无</x:v>
      </x:c>
      <x:c r="K19" s="39" t="n">
        <x:v>0</x:v>
      </x:c>
      <x:c r="L19" s="39" t="str">
        <x:v>勒布朗·詹姆斯继续留在当前球队。</x:v>
      </x:c>
      <x:c r="M19" s="39" t="str">
        <x:v>无</x:v>
      </x:c>
      <x:c r="N19" s="40" t="str"/>
      <x:c r="O19" s="40" t="str"/>
      <x:c r="P19" s="38" t="str">
        <x:v>未开始</x:v>
      </x:c>
      <x:c r="Q19" s="38" t="str"/>
      <x:c r="R19" s="41"/>
      <x:c r="S19" s="38" t="str"/>
      <x:c r="T19" s="38" t="str"/>
    </x:row>
    <x:row r="20" ht="48" customHeight="1">
      <x:c r="A20" s="31" t="str">
        <x:v>EV-019</x:v>
      </x:c>
      <x:c r="B20" s="31" t="n">
        <x:v>2018</x:v>
      </x:c>
      <x:c r="C20" s="31" t="str">
        <x:v>kawhi_toronto</x:v>
      </x:c>
      <x:c r="D20" s="31" t="str">
        <x:v>北境豪赌</x:v>
      </x:c>
      <x:c r="E20" s="31" t="str">
        <x:v>重磅交易</x:v>
      </x:c>
      <x:c r="F20" s="31" t="str"/>
      <x:c r="G20" s="31" t="str">
        <x:v>无分支</x:v>
      </x:c>
      <x:c r="H20" s="31" t="str">
        <x:v>主动触发</x:v>
      </x:c>
      <x:c r="I20" s="39" t="str">
        <x:v>无</x:v>
      </x:c>
      <x:c r="J20" s="39" t="str">
        <x:v>多伦多球队方向为争冠或季后赛竞争（+1）（+1）
多伦多上赛季至少45胜（+1）（+1）
多伦多88+综评球员不超过2人（+1）（+1）</x:v>
      </x:c>
      <x:c r="K20" s="39" t="n">
        <x:v>3</x:v>
      </x:c>
      <x:c r="L20" s="39" t="str">
        <x:v>科怀·伦纳德加盟多伦多，北境进入争冠模式。</x:v>
      </x:c>
      <x:c r="M20" s="39" t="str">
        <x:v>无</x:v>
      </x:c>
      <x:c r="N20" s="40" t="str"/>
      <x:c r="O20" s="40" t="str"/>
      <x:c r="P20" s="38" t="str">
        <x:v>未开始</x:v>
      </x:c>
      <x:c r="Q20" s="38" t="str"/>
      <x:c r="R20" s="41"/>
      <x:c r="S20" s="38" t="str"/>
      <x:c r="T20" s="38" t="str"/>
    </x:row>
    <x:row r="21" ht="48" customHeight="1">
      <x:c r="A21" s="31" t="str">
        <x:v>EV-020</x:v>
      </x:c>
      <x:c r="B21" s="31" t="n">
        <x:v>2019</x:v>
      </x:c>
      <x:c r="C21" s="31" t="str">
        <x:v>ad_lakers</x:v>
      </x:c>
      <x:c r="D21" s="31" t="str">
        <x:v>浓眉加盟湖人</x:v>
      </x:c>
      <x:c r="E21" s="31" t="str">
        <x:v>重磅交易</x:v>
      </x:c>
      <x:c r="F21" s="31" t="str"/>
      <x:c r="G21" s="31" t="str">
        <x:v>无分支</x:v>
      </x:c>
      <x:c r="H21" s="31" t="str">
        <x:v>主动触发</x:v>
      </x:c>
      <x:c r="I21" s="39" t="str">
        <x:v>已完成“詹姆斯的下一站”的“天选之子西游”分支</x:v>
      </x:c>
      <x:c r="J21" s="39" t="str">
        <x:v>洛杉矶湖人90+综评球员不超过2人（+1）（+1）
洛杉矶湖人上赛季至少45胜（+1）（+1）</x:v>
      </x:c>
      <x:c r="K21" s="39" t="n">
        <x:v>2</x:v>
      </x:c>
      <x:c r="L21" s="39" t="str">
        <x:v>安东尼·戴维斯加盟洛杉矶湖人，两位核心进入三年稳定期。</x:v>
      </x:c>
      <x:c r="M21" s="39" t="str">
        <x:v>lebron_lakers / hollywood</x:v>
      </x:c>
      <x:c r="N21" s="40" t="str"/>
      <x:c r="O21" s="40" t="str"/>
      <x:c r="P21" s="38" t="str">
        <x:v>未开始</x:v>
      </x:c>
      <x:c r="Q21" s="38" t="str"/>
      <x:c r="R21" s="41"/>
      <x:c r="S21" s="38" t="str"/>
      <x:c r="T21" s="38" t="str"/>
    </x:row>
    <x:row r="22" ht="48" customHeight="1">
      <x:c r="A22" s="31" t="str">
        <x:v>EV-021</x:v>
      </x:c>
      <x:c r="B22" s="31" t="n">
        <x:v>2019</x:v>
      </x:c>
      <x:c r="C22" s="31" t="str">
        <x:v>kawhi_pg_clippers</x:v>
      </x:c>
      <x:c r="D22" s="31" t="str">
        <x:v>洛城双翼集结</x:v>
      </x:c>
      <x:c r="E22" s="31" t="str">
        <x:v>决定</x:v>
      </x:c>
      <x:c r="F22" s="31" t="str"/>
      <x:c r="G22" s="31" t="str">
        <x:v>无分支</x:v>
      </x:c>
      <x:c r="H22" s="31" t="str">
        <x:v>主动触发</x:v>
      </x:c>
      <x:c r="I22" s="39" t="str">
        <x:v>无</x:v>
      </x:c>
      <x:c r="J22" s="39" t="str">
        <x:v>洛杉矶快船球队方向为争冠或季后赛竞争（+1）（+1）
洛杉矶快船上赛季至少45胜（+1）（+1）
保罗·乔治所在球队上赛季不超过55胜（+1）（+1）</x:v>
      </x:c>
      <x:c r="K22" s="39" t="n">
        <x:v>3</x:v>
      </x:c>
      <x:c r="L22" s="39" t="str">
        <x:v>科怀·伦纳德与保罗·乔治加盟洛杉矶快船。</x:v>
      </x:c>
      <x:c r="M22" s="39" t="str">
        <x:v>无</x:v>
      </x:c>
      <x:c r="N22" s="40" t="str"/>
      <x:c r="O22" s="40" t="str"/>
      <x:c r="P22" s="38" t="str">
        <x:v>未开始</x:v>
      </x:c>
      <x:c r="Q22" s="38" t="str"/>
      <x:c r="R22" s="41"/>
      <x:c r="S22" s="38" t="str"/>
      <x:c r="T22" s="38" t="str"/>
    </x:row>
    <x:row r="23" ht="48" customHeight="1">
      <x:c r="A23" s="31" t="str">
        <x:v>EV-022</x:v>
      </x:c>
      <x:c r="B23" s="31" t="n">
        <x:v>2019</x:v>
      </x:c>
      <x:c r="C23" s="31" t="str">
        <x:v>westbrook_houston</x:v>
      </x:c>
      <x:c r="D23" s="31" t="str">
        <x:v>昔日兄弟再聚首</x:v>
      </x:c>
      <x:c r="E23" s="31" t="str">
        <x:v>重磅交易</x:v>
      </x:c>
      <x:c r="F23" s="31" t="str"/>
      <x:c r="G23" s="31" t="str">
        <x:v>无分支</x:v>
      </x:c>
      <x:c r="H23" s="31" t="str">
        <x:v>主动触发</x:v>
      </x:c>
      <x:c r="I23" s="39" t="str">
        <x:v>詹姆斯·哈登效力于休斯敦</x:v>
      </x:c>
      <x:c r="J23" s="39" t="str">
        <x:v>休斯敦球队方向为争冠或季后赛竞争（+1）（+1）
休斯敦上赛季至少45胜（+1）（+1）</x:v>
      </x:c>
      <x:c r="K23" s="39" t="n">
        <x:v>2</x:v>
      </x:c>
      <x:c r="L23" s="39" t="str">
        <x:v>拉塞尔·威斯布鲁克加盟休斯敦。</x:v>
      </x:c>
      <x:c r="M23" s="39" t="str">
        <x:v>无</x:v>
      </x:c>
      <x:c r="N23" s="40" t="str"/>
      <x:c r="O23" s="40" t="str"/>
      <x:c r="P23" s="38" t="str">
        <x:v>未开始</x:v>
      </x:c>
      <x:c r="Q23" s="38" t="str"/>
      <x:c r="R23" s="41"/>
      <x:c r="S23" s="38" t="str"/>
      <x:c r="T23" s="38" t="str"/>
    </x:row>
    <x:row r="24" ht="48" customHeight="1">
      <x:c r="A24" s="31" t="str">
        <x:v>EV-023</x:v>
      </x:c>
      <x:c r="B24" s="31" t="n">
        <x:v>2019</x:v>
      </x:c>
      <x:c r="C24" s="31" t="str">
        <x:v>durant_kyrie_brooklyn</x:v>
      </x:c>
      <x:c r="D24" s="31" t="str">
        <x:v>双星汇聚布鲁克林</x:v>
      </x:c>
      <x:c r="E24" s="31" t="str">
        <x:v>自由市场</x:v>
      </x:c>
      <x:c r="F24" s="31" t="str"/>
      <x:c r="G24" s="31" t="str">
        <x:v>无分支</x:v>
      </x:c>
      <x:c r="H24" s="31" t="str">
        <x:v>主动触发</x:v>
      </x:c>
      <x:c r="I24" s="39" t="str">
        <x:v>已完成“杜兰特的抉择”
凯文·杜兰特所在球队上赛季未夺冠
凯里·欧文所在球队上赛季未夺冠</x:v>
      </x:c>
      <x:c r="J24" s="39" t="str">
        <x:v>无</x:v>
      </x:c>
      <x:c r="K24" s="39" t="n">
        <x:v>0</x:v>
      </x:c>
      <x:c r="L24" s="39" t="str">
        <x:v>凯文·杜兰特与凯里·欧文加盟布鲁克林，双星获得三年交易保护。</x:v>
      </x:c>
      <x:c r="M24" s="39" t="str">
        <x:v>durant_warriors</x:v>
      </x:c>
      <x:c r="N24" s="40" t="str"/>
      <x:c r="O24" s="40" t="str"/>
      <x:c r="P24" s="38" t="str">
        <x:v>未开始</x:v>
      </x:c>
      <x:c r="Q24" s="38" t="str"/>
      <x:c r="R24" s="41"/>
      <x:c r="S24" s="38" t="str"/>
      <x:c r="T24" s="38" t="str"/>
    </x:row>
    <x:row r="25" ht="48" customHeight="1">
      <x:c r="A25" s="31" t="str">
        <x:v>EV-024</x:v>
      </x:c>
      <x:c r="B25" s="31" t="n">
        <x:v>2020</x:v>
      </x:c>
      <x:c r="C25" s="31" t="str">
        <x:v>paul_suns</x:v>
      </x:c>
      <x:c r="D25" s="31" t="str">
        <x:v>保罗加盟太阳</x:v>
      </x:c>
      <x:c r="E25" s="31" t="str">
        <x:v>重磅交易</x:v>
      </x:c>
      <x:c r="F25" s="31" t="str"/>
      <x:c r="G25" s="31" t="str">
        <x:v>无分支</x:v>
      </x:c>
      <x:c r="H25" s="31" t="str">
        <x:v>主动触发</x:v>
      </x:c>
      <x:c r="I25" s="39" t="str">
        <x:v>无</x:v>
      </x:c>
      <x:c r="J25" s="39" t="str">
        <x:v>菲尼克斯球队方向为争冠或季后赛竞争（+1）（+1）
菲尼克斯上赛季至少45胜（+1）（+1）
菲尼克斯88+综评球员不超过2人（+1）（+1）</x:v>
      </x:c>
      <x:c r="K25" s="39" t="n">
        <x:v>3</x:v>
      </x:c>
      <x:c r="L25" s="39" t="str">
        <x:v>克里斯·保罗加盟菲尼克斯太阳。</x:v>
      </x:c>
      <x:c r="M25" s="39" t="str">
        <x:v>无</x:v>
      </x:c>
      <x:c r="N25" s="40" t="str"/>
      <x:c r="O25" s="40" t="str"/>
      <x:c r="P25" s="38" t="str">
        <x:v>未开始</x:v>
      </x:c>
      <x:c r="Q25" s="38" t="str"/>
      <x:c r="R25" s="41"/>
      <x:c r="S25" s="38" t="str"/>
      <x:c r="T25" s="38" t="str"/>
    </x:row>
    <x:row r="26" ht="48" customHeight="1">
      <x:c r="A26" s="31" t="str">
        <x:v>EV-025</x:v>
      </x:c>
      <x:c r="B26" s="31" t="n">
        <x:v>2021</x:v>
      </x:c>
      <x:c r="C26" s="31" t="str">
        <x:v>harden_brooklyn</x:v>
      </x:c>
      <x:c r="D26" s="31" t="str">
        <x:v>布鲁克林三巨头</x:v>
      </x:c>
      <x:c r="E26" s="31" t="str">
        <x:v>重磅交易</x:v>
      </x:c>
      <x:c r="F26" s="31" t="str"/>
      <x:c r="G26" s="31" t="str">
        <x:v>无分支</x:v>
      </x:c>
      <x:c r="H26" s="31" t="str">
        <x:v>主动触发</x:v>
      </x:c>
      <x:c r="I26" s="39" t="str">
        <x:v>已完成“双星汇聚布鲁克林”</x:v>
      </x:c>
      <x:c r="J26" s="39" t="str">
        <x:v>布鲁克林球队方向为争冠或季后赛竞争（+1）（+1）
詹姆斯·哈登所在球队上赛季未夺冠（+1）（+1）</x:v>
      </x:c>
      <x:c r="K26" s="39" t="n">
        <x:v>2</x:v>
      </x:c>
      <x:c r="L26" s="39" t="str">
        <x:v>詹姆斯·哈登加盟布鲁克林，核心成员获得两年稳定期。</x:v>
      </x:c>
      <x:c r="M26" s="39" t="str">
        <x:v>durant_kyrie_brooklyn</x:v>
      </x:c>
      <x:c r="N26" s="40" t="str"/>
      <x:c r="O26" s="40" t="str"/>
      <x:c r="P26" s="38" t="str">
        <x:v>未开始</x:v>
      </x:c>
      <x:c r="Q26" s="38" t="str"/>
      <x:c r="R26" s="41"/>
      <x:c r="S26" s="38" t="str"/>
      <x:c r="T26" s="38" t="str"/>
    </x:row>
    <x:row r="27" ht="48" customHeight="1">
      <x:c r="A27" s="31" t="str">
        <x:v>EV-026</x:v>
      </x:c>
      <x:c r="B27" s="31" t="n">
        <x:v>2021</x:v>
      </x:c>
      <x:c r="C27" s="31" t="str">
        <x:v>westbrook_lakers</x:v>
      </x:c>
      <x:c r="D27" s="31" t="str">
        <x:v>三双王来到洛杉矶</x:v>
      </x:c>
      <x:c r="E27" s="31" t="str">
        <x:v>重磅交易</x:v>
      </x:c>
      <x:c r="F27" s="31" t="str"/>
      <x:c r="G27" s="31" t="str">
        <x:v>无分支</x:v>
      </x:c>
      <x:c r="H27" s="31" t="str">
        <x:v>主动触发</x:v>
      </x:c>
      <x:c r="I27" s="39" t="str">
        <x:v>无</x:v>
      </x:c>
      <x:c r="J27" s="39" t="str">
        <x:v>洛杉矶湖人球队方向为争冠、季后赛竞争或观望调整（+1）
洛杉矶湖人88+综评球员不超过2人（+1）
拉塞尔·威斯布鲁克所在球队上赛季不超过55胜（+1）</x:v>
      </x:c>
      <x:c r="K27" s="39" t="n">
        <x:v>3</x:v>
      </x:c>
      <x:c r="L27" s="39" t="str">
        <x:v>拉塞尔·威斯布鲁克加盟洛杉矶湖人。</x:v>
      </x:c>
      <x:c r="M27" s="39" t="str">
        <x:v>无</x:v>
      </x:c>
      <x:c r="N27" s="40" t="str"/>
      <x:c r="O27" s="40" t="str"/>
      <x:c r="P27" s="38" t="str">
        <x:v>未开始</x:v>
      </x:c>
      <x:c r="Q27" s="38" t="str"/>
      <x:c r="R27" s="41"/>
      <x:c r="S27" s="38" t="str"/>
      <x:c r="T27" s="38" t="str"/>
    </x:row>
    <x:row r="28" ht="48" customHeight="1">
      <x:c r="A28" s="31" t="str">
        <x:v>EV-027</x:v>
      </x:c>
      <x:c r="B28" s="31" t="n">
        <x:v>2022</x:v>
      </x:c>
      <x:c r="C28" s="31" t="str">
        <x:v>mitchell_cleveland</x:v>
      </x:c>
      <x:c r="D28" s="31" t="str">
        <x:v>米切尔空降骑士</x:v>
      </x:c>
      <x:c r="E28" s="31" t="str">
        <x:v>重磅交易</x:v>
      </x:c>
      <x:c r="F28" s="31" t="str"/>
      <x:c r="G28" s="31" t="str">
        <x:v>无分支</x:v>
      </x:c>
      <x:c r="H28" s="31" t="str">
        <x:v>主动触发</x:v>
      </x:c>
      <x:c r="I28" s="39" t="str">
        <x:v>无</x:v>
      </x:c>
      <x:c r="J28" s="39" t="str">
        <x:v>克里夫兰球队方向为争冠、季后赛竞争或观望调整（+1）
克里夫兰88+综评球员不超过2人（+1）
多诺万·米切尔所在球队上赛季不超过55胜（+1）</x:v>
      </x:c>
      <x:c r="K28" s="39" t="n">
        <x:v>3</x:v>
      </x:c>
      <x:c r="L28" s="39" t="str">
        <x:v>多诺万·米切尔加盟克里夫兰。</x:v>
      </x:c>
      <x:c r="M28" s="39" t="str">
        <x:v>无</x:v>
      </x:c>
      <x:c r="N28" s="40" t="str"/>
      <x:c r="O28" s="40" t="str"/>
      <x:c r="P28" s="38" t="str">
        <x:v>未开始</x:v>
      </x:c>
      <x:c r="Q28" s="38" t="str"/>
      <x:c r="R28" s="41"/>
      <x:c r="S28" s="38" t="str"/>
      <x:c r="T28" s="38" t="str"/>
    </x:row>
    <x:row r="29" ht="48" customHeight="1">
      <x:c r="A29" s="31" t="str">
        <x:v>EV-028</x:v>
      </x:c>
      <x:c r="B29" s="31" t="n">
        <x:v>2023</x:v>
      </x:c>
      <x:c r="C29" s="31" t="str">
        <x:v>durant_phoenix</x:v>
      </x:c>
      <x:c r="D29" s="31" t="str">
        <x:v>太阳组成豪华进攻组</x:v>
      </x:c>
      <x:c r="E29" s="31" t="str">
        <x:v>重磅交易</x:v>
      </x:c>
      <x:c r="F29" s="31" t="str"/>
      <x:c r="G29" s="31" t="str">
        <x:v>无分支</x:v>
      </x:c>
      <x:c r="H29" s="31" t="str">
        <x:v>主动触发</x:v>
      </x:c>
      <x:c r="I29" s="39" t="str">
        <x:v>无</x:v>
      </x:c>
      <x:c r="J29" s="39" t="str">
        <x:v>菲尼克斯球队方向为争冠、季后赛竞争或观望调整（+1）
菲尼克斯88+综评球员不超过2人（+1）
凯文·杜兰特所在球队上赛季不超过55胜（+1）</x:v>
      </x:c>
      <x:c r="K29" s="39" t="n">
        <x:v>3</x:v>
      </x:c>
      <x:c r="L29" s="39" t="str">
        <x:v>凯文·杜兰特加盟菲尼克斯太阳。</x:v>
      </x:c>
      <x:c r="M29" s="39" t="str">
        <x:v>无</x:v>
      </x:c>
      <x:c r="N29" s="40" t="str"/>
      <x:c r="O29" s="40" t="str"/>
      <x:c r="P29" s="38" t="str">
        <x:v>未开始</x:v>
      </x:c>
      <x:c r="Q29" s="38" t="str"/>
      <x:c r="R29" s="41"/>
      <x:c r="S29" s="38" t="str"/>
      <x:c r="T29" s="38" t="str"/>
    </x:row>
    <x:row r="30" ht="48" customHeight="1">
      <x:c r="A30" s="31" t="str">
        <x:v>EV-029</x:v>
      </x:c>
      <x:c r="B30" s="31" t="n">
        <x:v>2023</x:v>
      </x:c>
      <x:c r="C30" s="31" t="str">
        <x:v>lillard_bucks</x:v>
      </x:c>
      <x:c r="D30" s="31" t="str">
        <x:v>利拉德联手字母哥</x:v>
      </x:c>
      <x:c r="E30" s="31" t="str">
        <x:v>重磅交易</x:v>
      </x:c>
      <x:c r="F30" s="31" t="str"/>
      <x:c r="G30" s="31" t="str">
        <x:v>无分支</x:v>
      </x:c>
      <x:c r="H30" s="31" t="str">
        <x:v>主动触发</x:v>
      </x:c>
      <x:c r="I30" s="39" t="str">
        <x:v>扬尼斯·阿德托昆博效力于密尔沃基雄鹿</x:v>
      </x:c>
      <x:c r="J30" s="39" t="str">
        <x:v>密尔沃基球队方向为争冠、季后赛竞争或观望调整（+1）
密尔沃基88+综评球员不超过2人（+1）
达米安·利拉德所在球队上赛季不超过55胜（+1）</x:v>
      </x:c>
      <x:c r="K30" s="39" t="n">
        <x:v>3</x:v>
      </x:c>
      <x:c r="L30" s="39" t="str">
        <x:v>达米安·利拉德加盟密尔沃基。</x:v>
      </x:c>
      <x:c r="M30" s="39" t="str">
        <x:v>无</x:v>
      </x:c>
      <x:c r="N30" s="40" t="str"/>
      <x:c r="O30" s="40" t="str"/>
      <x:c r="P30" s="38" t="str">
        <x:v>未开始</x:v>
      </x:c>
      <x:c r="Q30" s="38" t="str"/>
      <x:c r="R30" s="41"/>
      <x:c r="S30" s="38" t="str"/>
      <x:c r="T30" s="38" t="str"/>
    </x:row>
    <x:row r="31" ht="48" customHeight="1">
      <x:c r="A31" s="31" t="str">
        <x:v>EV-030</x:v>
      </x:c>
      <x:c r="B31" s="31" t="n">
        <x:v>2023</x:v>
      </x:c>
      <x:c r="C31" s="31" t="str">
        <x:v>harden_clippers</x:v>
      </x:c>
      <x:c r="D31" s="31" t="str">
        <x:v>哈登回到家乡</x:v>
      </x:c>
      <x:c r="E31" s="31" t="str">
        <x:v>重磅交易</x:v>
      </x:c>
      <x:c r="F31" s="31" t="str"/>
      <x:c r="G31" s="31" t="str">
        <x:v>无分支</x:v>
      </x:c>
      <x:c r="H31" s="31" t="str">
        <x:v>主动触发</x:v>
      </x:c>
      <x:c r="I31" s="39" t="str">
        <x:v>无</x:v>
      </x:c>
      <x:c r="J31" s="39" t="str">
        <x:v>洛杉矶快船球队方向为争冠、季后赛竞争或观望调整（+1）
洛杉矶快船88+综评球员不超过2人（+1）
詹姆斯·哈登所在球队上赛季不超过55胜（+1）</x:v>
      </x:c>
      <x:c r="K31" s="39" t="n">
        <x:v>3</x:v>
      </x:c>
      <x:c r="L31" s="39" t="str">
        <x:v>詹姆斯·哈登加盟洛杉矶快船。</x:v>
      </x:c>
      <x:c r="M31" s="39" t="str">
        <x:v>无</x:v>
      </x:c>
      <x:c r="N31" s="40" t="str"/>
      <x:c r="O31" s="40" t="str"/>
      <x:c r="P31" s="38" t="str">
        <x:v>未开始</x:v>
      </x:c>
      <x:c r="Q31" s="38" t="str"/>
      <x:c r="R31" s="41"/>
      <x:c r="S31" s="38" t="str"/>
      <x:c r="T31" s="38" t="str"/>
    </x:row>
    <x:row r="32" ht="48" customHeight="1">
      <x:c r="A32" s="31" t="str">
        <x:v>EV-031</x:v>
      </x:c>
      <x:c r="B32" s="31" t="n">
        <x:v>2024</x:v>
      </x:c>
      <x:c r="C32" s="31" t="str">
        <x:v>klay_leaves_warriors</x:v>
      </x:c>
      <x:c r="D32" s="31" t="str">
        <x:v>汤普森告别金州</x:v>
      </x:c>
      <x:c r="E32" s="31" t="str">
        <x:v>自由市场</x:v>
      </x:c>
      <x:c r="F32" s="31" t="str"/>
      <x:c r="G32" s="31" t="str">
        <x:v>无分支</x:v>
      </x:c>
      <x:c r="H32" s="31" t="str">
        <x:v>主动触发</x:v>
      </x:c>
      <x:c r="I32" s="39" t="str">
        <x:v>克莱·汤普森效力于金州勇士</x:v>
      </x:c>
      <x:c r="J32" s="39" t="str">
        <x:v>达拉斯球队方向为争冠或季后赛竞争（+1）（+1）
达拉斯上赛季至少45胜（+1）（+1）
达拉斯88+综评球员不超过2人（+1）（+1）</x:v>
      </x:c>
      <x:c r="K32" s="39" t="n">
        <x:v>3</x:v>
      </x:c>
      <x:c r="L32" s="39" t="str">
        <x:v>克莱·汤普森加盟达拉斯独行侠。</x:v>
      </x:c>
      <x:c r="M32" s="39" t="str">
        <x:v>无</x:v>
      </x:c>
      <x:c r="N32" s="40" t="str"/>
      <x:c r="O32" s="40" t="str"/>
      <x:c r="P32" s="38" t="str">
        <x:v>未开始</x:v>
      </x:c>
      <x:c r="Q32" s="38" t="str"/>
      <x:c r="R32" s="41"/>
      <x:c r="S32" s="38" t="str"/>
      <x:c r="T32" s="38" t="str"/>
    </x:row>
    <x:row r="33" ht="48" customHeight="1">
      <x:c r="A33" s="31" t="str">
        <x:v>EV-032</x:v>
      </x:c>
      <x:c r="B33" s="31" t="n">
        <x:v>2025</x:v>
      </x:c>
      <x:c r="C33" s="31" t="str">
        <x:v>luka_davis_swap</x:v>
      </x:c>
      <x:c r="D33" s="31" t="str">
        <x:v>洛城与达拉斯的世纪互换</x:v>
      </x:c>
      <x:c r="E33" s="31" t="str">
        <x:v>重磅交易</x:v>
      </x:c>
      <x:c r="F33" s="31" t="str"/>
      <x:c r="G33" s="31" t="str">
        <x:v>无分支</x:v>
      </x:c>
      <x:c r="H33" s="31" t="str">
        <x:v>主动触发</x:v>
      </x:c>
      <x:c r="I33" s="39" t="str">
        <x:v>卢卡·东契奇效力于达拉斯独行侠
安东尼·戴维斯效力于洛杉矶湖人</x:v>
      </x:c>
      <x:c r="J33" s="39" t="str">
        <x:v>洛杉矶湖人球队方向为争冠或季后赛竞争（+1）（+1）
达拉斯球队方向为争冠或季后赛竞争（+1）（+1）
卢卡·东契奇所在球队上赛季未夺冠（+1）（+1）</x:v>
      </x:c>
      <x:c r="K33" s="39" t="n">
        <x:v>3</x:v>
      </x:c>
      <x:c r="L33" s="39" t="str">
        <x:v>卢卡·东契奇加盟洛杉矶湖人，安东尼·戴维斯加盟达拉斯独行侠。</x:v>
      </x:c>
      <x:c r="M33" s="39" t="str">
        <x:v>无</x:v>
      </x:c>
      <x:c r="N33" s="40" t="str"/>
      <x:c r="O33" s="40" t="str"/>
      <x:c r="P33" s="38" t="str">
        <x:v>未开始</x:v>
      </x:c>
      <x:c r="Q33" s="38" t="str"/>
      <x:c r="R33" s="41"/>
      <x:c r="S33" s="38" t="str"/>
      <x:c r="T33" s="38" t="str"/>
    </x:row>
  </x:sheetData>
  <x:conditionalFormatting sqref="P2:P33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</x:conditionalFormatting>
  <x:dataValidations count="1">
    <x:dataValidation type="list" sqref="P2:P33">
      <x:formula1>"未开始,通过,失败,阻塞,不适用"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76321bb62d43b8"/>
  </x:tableParts>
</x:worksheet>
</file>

<file path=xl/worksheets/sheet3.xml><?xml version="1.0" encoding="utf-8"?>
<x:worksheet xmlns:x="http://schemas.openxmlformats.org/spreadsheetml/2006/main">
  <x:sheetPr>
    <x:tabColor rgb="FF06B6D4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22" hidden="0" customWidth="1"/>
    <x:col min="4" max="4" width="24" hidden="0" customWidth="1"/>
    <x:col min="5" max="5" width="22" hidden="0" customWidth="1"/>
    <x:col min="6" max="6" width="15" hidden="0" customWidth="1"/>
    <x:col min="7" max="7" width="30" hidden="0" customWidth="1"/>
    <x:col min="8" max="8" width="44" hidden="0" customWidth="1"/>
    <x:col min="9" max="9" width="9" hidden="0" customWidth="1"/>
    <x:col min="10" max="10" width="8" hidden="0" customWidth="1"/>
    <x:col min="11" max="11" width="25" hidden="0" customWidth="1"/>
    <x:col min="12" max="12" width="35" hidden="0" customWidth="1"/>
    <x:col min="13" max="13" width="42" hidden="0" customWidth="1"/>
    <x:col min="14" max="14" width="11" hidden="0" customWidth="1"/>
    <x:col min="15" max="15" width="11" hidden="0" customWidth="1"/>
    <x:col min="16" max="16" width="13" hidden="0" customWidth="1"/>
    <x:col min="17" max="17" width="13" hidden="0" customWidth="1"/>
    <x:col min="18" max="18" width="13" hidden="0" customWidth="1"/>
    <x:col min="19" max="19" width="30" hidden="0" customWidth="1"/>
  </x:cols>
  <x:sheetData>
    <x:row r="1" ht="30" customHeight="1">
      <x:c r="A1" s="35" t="str">
        <x:v>条件ID</x:v>
      </x:c>
      <x:c r="B1" s="36" t="str">
        <x:v>赛季</x:v>
      </x:c>
      <x:c r="C1" s="36" t="str">
        <x:v>事件ID</x:v>
      </x:c>
      <x:c r="D1" s="36" t="str">
        <x:v>事件名称</x:v>
      </x:c>
      <x:c r="E1" s="36" t="str">
        <x:v>分支</x:v>
      </x:c>
      <x:c r="F1" s="36" t="str">
        <x:v>条件来源</x:v>
      </x:c>
      <x:c r="G1" s="36" t="str">
        <x:v>条件类型</x:v>
      </x:c>
      <x:c r="H1" s="36" t="str">
        <x:v>公开条件</x:v>
      </x:c>
      <x:c r="I1" s="36" t="str">
        <x:v>必须</x:v>
      </x:c>
      <x:c r="J1" s="36" t="str">
        <x:v>分值</x:v>
      </x:c>
      <x:c r="K1" s="36" t="str">
        <x:v>数字/对象阈值</x:v>
      </x:c>
      <x:c r="L1" s="36" t="str">
        <x:v>边界准备方法</x:v>
      </x:c>
      <x:c r="M1" s="36" t="str">
        <x:v>预期行为</x:v>
      </x:c>
      <x:c r="N1" s="36" t="str">
        <x:v>观察次数</x:v>
      </x:c>
      <x:c r="O1" s="36" t="str">
        <x:v>达成次数</x:v>
      </x:c>
      <x:c r="P1" s="36" t="str">
        <x:v>观察达成率</x:v>
      </x:c>
      <x:c r="Q1" s="36" t="str">
        <x:v>合理性评价</x:v>
      </x:c>
      <x:c r="R1" s="36" t="str">
        <x:v>缺陷编号</x:v>
      </x:c>
      <x:c r="S1" s="37" t="str">
        <x:v>备注</x:v>
      </x:c>
    </x:row>
    <x:row r="2" ht="42" customHeight="1">
      <x:c r="A2" s="31" t="str">
        <x:v>COND-001</x:v>
      </x:c>
      <x:c r="B2" s="31" t="n">
        <x:v>2010</x:v>
      </x:c>
      <x:c r="C2" s="31" t="str">
        <x:v>decision_1</x:v>
      </x:c>
      <x:c r="D2" s="31" t="str">
        <x:v>决定一：南海岸集结</x:v>
      </x:c>
      <x:c r="E2" s="31" t="str">
        <x:v>南海岸三巨头</x:v>
      </x:c>
      <x:c r="F2" s="31" t="str">
        <x:v>事件条件</x:v>
      </x:c>
      <x:c r="G2" s="39" t="str">
        <x:v>player_without_title</x:v>
      </x:c>
      <x:c r="H2" s="39" t="str">
        <x:v>勒布朗·詹姆斯此前尚未夺冠</x:v>
      </x:c>
      <x:c r="I2" s="39" t="str">
        <x:v>是</x:v>
      </x:c>
      <x:c r="J2" s="39" t="n">
        <x:v>0</x:v>
      </x:c>
      <x:c r="K2" s="39" t="str"/>
      <x:c r="L2" s="39" t="str">
        <x:v>分别验证满足与不满足两种状态</x:v>
      </x:c>
      <x:c r="M2" s="39" t="str">
        <x:v>不满足时不可触发；满足后再检查计分条件</x:v>
      </x:c>
      <x:c r="N2" s="38" t="str"/>
      <x:c r="O2" s="38" t="str"/>
      <x:c r="P2" s="43" t="str">
        <x:f>IF(N2="","",IFERROR(O2/N2,""))</x:f>
      </x:c>
      <x:c r="Q2" s="38" t="str">
        <x:v>未评估</x:v>
      </x:c>
      <x:c r="R2" s="38" t="str"/>
      <x:c r="S2" s="38" t="str"/>
    </x:row>
    <x:row r="3" ht="42" customHeight="1">
      <x:c r="A3" s="31" t="str">
        <x:v>COND-002</x:v>
      </x:c>
      <x:c r="B3" s="31" t="n">
        <x:v>2010</x:v>
      </x:c>
      <x:c r="C3" s="31" t="str">
        <x:v>decision_1</x:v>
      </x:c>
      <x:c r="D3" s="31" t="str">
        <x:v>决定一：南海岸集结</x:v>
      </x:c>
      <x:c r="E3" s="31" t="str">
        <x:v>南海岸三巨头</x:v>
      </x:c>
      <x:c r="F3" s="31" t="str">
        <x:v>分支条件</x:v>
      </x:c>
      <x:c r="G3" s="39" t="str">
        <x:v>player_on_team</x:v>
      </x:c>
      <x:c r="H3" s="39" t="str">
        <x:v>德维恩·韦德效力于迈阿密</x:v>
      </x:c>
      <x:c r="I3" s="39" t="str">
        <x:v>是</x:v>
      </x:c>
      <x:c r="J3" s="39" t="n">
        <x:v>0</x:v>
      </x:c>
      <x:c r="K3" s="39" t="str">
        <x:v>迈阿密</x:v>
      </x:c>
      <x:c r="L3" s="39" t="str">
        <x:v>分别验证满足与不满足两种状态</x:v>
      </x:c>
      <x:c r="M3" s="39" t="str">
        <x:v>不满足时不可触发；满足后再检查计分条件</x:v>
      </x:c>
      <x:c r="N3" s="38" t="str"/>
      <x:c r="O3" s="38" t="str"/>
      <x:c r="P3" s="43" t="str">
        <x:f>IF(N3="","",IFERROR(O3/N3,""))</x:f>
      </x:c>
      <x:c r="Q3" s="38" t="str">
        <x:v>未评估</x:v>
      </x:c>
      <x:c r="R3" s="38" t="str"/>
      <x:c r="S3" s="38" t="str"/>
    </x:row>
    <x:row r="4" ht="42" customHeight="1">
      <x:c r="A4" s="31" t="str">
        <x:v>COND-003</x:v>
      </x:c>
      <x:c r="B4" s="31" t="n">
        <x:v>2010</x:v>
      </x:c>
      <x:c r="C4" s="31" t="str">
        <x:v>decision_1</x:v>
      </x:c>
      <x:c r="D4" s="31" t="str">
        <x:v>决定一：南海岸集结</x:v>
      </x:c>
      <x:c r="E4" s="31" t="str">
        <x:v>南海岸三巨头</x:v>
      </x:c>
      <x:c r="F4" s="31" t="str">
        <x:v>分支条件</x:v>
      </x:c>
      <x:c r="G4" s="39" t="str">
        <x:v>team_strategy_in</x:v>
      </x:c>
      <x:c r="H4" s="39" t="str">
        <x:v>迈阿密球队方向为争冠或季后赛竞争（+1）</x:v>
      </x:c>
      <x:c r="I4" s="39" t="str">
        <x:v>否</x:v>
      </x:c>
      <x:c r="J4" s="39" t="n">
        <x:v>1</x:v>
      </x:c>
      <x:c r="K4" s="39" t="str">
        <x:v>contender/playoff；迈阿密</x:v>
      </x:c>
      <x:c r="L4" s="39" t="str">
        <x:v>准备恰好达到与低于阈值的两组阵容/战绩</x:v>
      </x:c>
      <x:c r="M4" s="39" t="str">
        <x:v>满足后增加1分；仅差1分时可出现广告解锁</x:v>
      </x:c>
      <x:c r="N4" s="38" t="str"/>
      <x:c r="O4" s="38" t="str"/>
      <x:c r="P4" s="43" t="str">
        <x:f>IF(N4="","",IFERROR(O4/N4,""))</x:f>
      </x:c>
      <x:c r="Q4" s="38" t="str">
        <x:v>未评估</x:v>
      </x:c>
      <x:c r="R4" s="38" t="str"/>
      <x:c r="S4" s="38" t="str"/>
    </x:row>
    <x:row r="5" ht="42" customHeight="1">
      <x:c r="A5" s="31" t="str">
        <x:v>COND-004</x:v>
      </x:c>
      <x:c r="B5" s="31" t="n">
        <x:v>2010</x:v>
      </x:c>
      <x:c r="C5" s="31" t="str">
        <x:v>decision_1</x:v>
      </x:c>
      <x:c r="D5" s="31" t="str">
        <x:v>决定一：南海岸集结</x:v>
      </x:c>
      <x:c r="E5" s="31" t="str">
        <x:v>南海岸三巨头</x:v>
      </x:c>
      <x:c r="F5" s="31" t="str">
        <x:v>分支条件</x:v>
      </x:c>
      <x:c r="G5" s="39" t="str">
        <x:v>player_team_previous_wins_at_most</x:v>
      </x:c>
      <x:c r="H5" s="39" t="str">
        <x:v>勒布朗·詹姆斯所在球队上赛季不超过59胜（+1）</x:v>
      </x:c>
      <x:c r="I5" s="39" t="str">
        <x:v>否</x:v>
      </x:c>
      <x:c r="J5" s="39" t="n">
        <x:v>1</x:v>
      </x:c>
      <x:c r="K5" s="39" t="str">
        <x:v>59</x:v>
      </x:c>
      <x:c r="L5" s="39" t="str">
        <x:v>准备恰好达到与低于阈值的两组阵容/战绩</x:v>
      </x:c>
      <x:c r="M5" s="39" t="str">
        <x:v>满足后增加1分；仅差1分时可出现广告解锁</x:v>
      </x:c>
      <x:c r="N5" s="38" t="str"/>
      <x:c r="O5" s="38" t="str"/>
      <x:c r="P5" s="43" t="str">
        <x:f>IF(N5="","",IFERROR(O5/N5,""))</x:f>
      </x:c>
      <x:c r="Q5" s="38" t="str">
        <x:v>未评估</x:v>
      </x:c>
      <x:c r="R5" s="38" t="str"/>
      <x:c r="S5" s="38" t="str"/>
    </x:row>
    <x:row r="6" ht="42" customHeight="1">
      <x:c r="A6" s="31" t="str">
        <x:v>COND-005</x:v>
      </x:c>
      <x:c r="B6" s="31" t="n">
        <x:v>2010</x:v>
      </x:c>
      <x:c r="C6" s="31" t="str">
        <x:v>decision_1</x:v>
      </x:c>
      <x:c r="D6" s="31" t="str">
        <x:v>决定一：南海岸集结</x:v>
      </x:c>
      <x:c r="E6" s="31" t="str">
        <x:v>南海岸三巨头</x:v>
      </x:c>
      <x:c r="F6" s="31" t="str">
        <x:v>分支条件</x:v>
      </x:c>
      <x:c r="G6" s="39" t="str">
        <x:v>team_previous_wins_at_least</x:v>
      </x:c>
      <x:c r="H6" s="39" t="str">
        <x:v>迈阿密上赛季至少45胜（+1）</x:v>
      </x:c>
      <x:c r="I6" s="39" t="str">
        <x:v>否</x:v>
      </x:c>
      <x:c r="J6" s="39" t="n">
        <x:v>1</x:v>
      </x:c>
      <x:c r="K6" s="39" t="str">
        <x:v>45；迈阿密</x:v>
      </x:c>
      <x:c r="L6" s="39" t="str">
        <x:v>准备恰好达到与低于阈值的两组阵容/战绩</x:v>
      </x:c>
      <x:c r="M6" s="39" t="str">
        <x:v>满足后增加1分；仅差1分时可出现广告解锁</x:v>
      </x:c>
      <x:c r="N6" s="38" t="str"/>
      <x:c r="O6" s="38" t="str"/>
      <x:c r="P6" s="43" t="str">
        <x:f>IF(N6="","",IFERROR(O6/N6,""))</x:f>
      </x:c>
      <x:c r="Q6" s="38" t="str">
        <x:v>未评估</x:v>
      </x:c>
      <x:c r="R6" s="38" t="str"/>
      <x:c r="S6" s="38" t="str"/>
    </x:row>
    <x:row r="7" ht="42" customHeight="1">
      <x:c r="A7" s="31" t="str">
        <x:v>COND-006</x:v>
      </x:c>
      <x:c r="B7" s="31" t="n">
        <x:v>2010</x:v>
      </x:c>
      <x:c r="C7" s="31" t="str">
        <x:v>decision_1</x:v>
      </x:c>
      <x:c r="D7" s="31" t="str">
        <x:v>决定一：南海岸集结</x:v>
      </x:c>
      <x:c r="E7" s="31" t="str">
        <x:v>百老汇巨星</x:v>
      </x:c>
      <x:c r="F7" s="31" t="str">
        <x:v>事件条件</x:v>
      </x:c>
      <x:c r="G7" s="39" t="str">
        <x:v>player_without_title</x:v>
      </x:c>
      <x:c r="H7" s="39" t="str">
        <x:v>勒布朗·詹姆斯此前尚未夺冠</x:v>
      </x:c>
      <x:c r="I7" s="39" t="str">
        <x:v>是</x:v>
      </x:c>
      <x:c r="J7" s="39" t="n">
        <x:v>0</x:v>
      </x:c>
      <x:c r="K7" s="39" t="str"/>
      <x:c r="L7" s="39" t="str">
        <x:v>分别验证满足与不满足两种状态</x:v>
      </x:c>
      <x:c r="M7" s="39" t="str">
        <x:v>不满足时不可触发；满足后再检查计分条件</x:v>
      </x:c>
      <x:c r="N7" s="38" t="str"/>
      <x:c r="O7" s="38" t="str"/>
      <x:c r="P7" s="43" t="str">
        <x:f>IF(N7="","",IFERROR(O7/N7,""))</x:f>
      </x:c>
      <x:c r="Q7" s="38" t="str">
        <x:v>未评估</x:v>
      </x:c>
      <x:c r="R7" s="38" t="str"/>
      <x:c r="S7" s="38" t="str"/>
    </x:row>
    <x:row r="8" ht="42" customHeight="1">
      <x:c r="A8" s="31" t="str">
        <x:v>COND-007</x:v>
      </x:c>
      <x:c r="B8" s="31" t="n">
        <x:v>2010</x:v>
      </x:c>
      <x:c r="C8" s="31" t="str">
        <x:v>decision_1</x:v>
      </x:c>
      <x:c r="D8" s="31" t="str">
        <x:v>决定一：南海岸集结</x:v>
      </x:c>
      <x:c r="E8" s="31" t="str">
        <x:v>百老汇巨星</x:v>
      </x:c>
      <x:c r="F8" s="31" t="str">
        <x:v>分支条件</x:v>
      </x:c>
      <x:c r="G8" s="39" t="str">
        <x:v>team_strategy_in</x:v>
      </x:c>
      <x:c r="H8" s="39" t="str">
        <x:v>纽约球队方向为观望调整或重建（+1）</x:v>
      </x:c>
      <x:c r="I8" s="39" t="str">
        <x:v>否</x:v>
      </x:c>
      <x:c r="J8" s="39" t="n">
        <x:v>1</x:v>
      </x:c>
      <x:c r="K8" s="39" t="str">
        <x:v>retooling/rebuilding；纽约</x:v>
      </x:c>
      <x:c r="L8" s="39" t="str">
        <x:v>准备恰好达到与低于阈值的两组阵容/战绩</x:v>
      </x:c>
      <x:c r="M8" s="39" t="str">
        <x:v>满足后增加1分；仅差1分时可出现广告解锁</x:v>
      </x:c>
      <x:c r="N8" s="38" t="str"/>
      <x:c r="O8" s="38" t="str"/>
      <x:c r="P8" s="43" t="str">
        <x:f>IF(N8="","",IFERROR(O8/N8,""))</x:f>
      </x:c>
      <x:c r="Q8" s="38" t="str">
        <x:v>未评估</x:v>
      </x:c>
      <x:c r="R8" s="38" t="str"/>
      <x:c r="S8" s="38" t="str"/>
    </x:row>
    <x:row r="9" ht="42" customHeight="1">
      <x:c r="A9" s="31" t="str">
        <x:v>COND-008</x:v>
      </x:c>
      <x:c r="B9" s="31" t="n">
        <x:v>2010</x:v>
      </x:c>
      <x:c r="C9" s="31" t="str">
        <x:v>decision_1</x:v>
      </x:c>
      <x:c r="D9" s="31" t="str">
        <x:v>决定一：南海岸集结</x:v>
      </x:c>
      <x:c r="E9" s="31" t="str">
        <x:v>百老汇巨星</x:v>
      </x:c>
      <x:c r="F9" s="31" t="str">
        <x:v>分支条件</x:v>
      </x:c>
      <x:c r="G9" s="39" t="str">
        <x:v>team_max_elite_players</x:v>
      </x:c>
      <x:c r="H9" s="39" t="str">
        <x:v>纽约88+综评球员不超过1人（+1）</x:v>
      </x:c>
      <x:c r="I9" s="39" t="str">
        <x:v>否</x:v>
      </x:c>
      <x:c r="J9" s="39" t="n">
        <x:v>1</x:v>
      </x:c>
      <x:c r="K9" s="39" t="str">
        <x:v>1；OVR≥88；纽约</x:v>
      </x:c>
      <x:c r="L9" s="39" t="str">
        <x:v>准备恰好达到与低于阈值的两组阵容/战绩</x:v>
      </x:c>
      <x:c r="M9" s="39" t="str">
        <x:v>满足后增加1分；仅差1分时可出现广告解锁</x:v>
      </x:c>
      <x:c r="N9" s="38" t="str"/>
      <x:c r="O9" s="38" t="str"/>
      <x:c r="P9" s="43" t="str">
        <x:f>IF(N9="","",IFERROR(O9/N9,""))</x:f>
      </x:c>
      <x:c r="Q9" s="38" t="str">
        <x:v>未评估</x:v>
      </x:c>
      <x:c r="R9" s="38" t="str"/>
      <x:c r="S9" s="38" t="str"/>
    </x:row>
    <x:row r="10" ht="42" customHeight="1">
      <x:c r="A10" s="31" t="str">
        <x:v>COND-009</x:v>
      </x:c>
      <x:c r="B10" s="31" t="n">
        <x:v>2010</x:v>
      </x:c>
      <x:c r="C10" s="31" t="str">
        <x:v>decision_1</x:v>
      </x:c>
      <x:c r="D10" s="31" t="str">
        <x:v>决定一：南海岸集结</x:v>
      </x:c>
      <x:c r="E10" s="31" t="str">
        <x:v>百老汇巨星</x:v>
      </x:c>
      <x:c r="F10" s="31" t="str">
        <x:v>分支条件</x:v>
      </x:c>
      <x:c r="G10" s="39" t="str">
        <x:v>player_team_previous_wins_at_most</x:v>
      </x:c>
      <x:c r="H10" s="39" t="str">
        <x:v>勒布朗·詹姆斯所在球队上赛季不超过55胜（+1）</x:v>
      </x:c>
      <x:c r="I10" s="39" t="str">
        <x:v>否</x:v>
      </x:c>
      <x:c r="J10" s="39" t="n">
        <x:v>1</x:v>
      </x:c>
      <x:c r="K10" s="39" t="str">
        <x:v>55</x:v>
      </x:c>
      <x:c r="L10" s="39" t="str">
        <x:v>准备恰好达到与低于阈值的两组阵容/战绩</x:v>
      </x:c>
      <x:c r="M10" s="39" t="str">
        <x:v>满足后增加1分；仅差1分时可出现广告解锁</x:v>
      </x:c>
      <x:c r="N10" s="38" t="str"/>
      <x:c r="O10" s="38" t="str"/>
      <x:c r="P10" s="43" t="str">
        <x:f>IF(N10="","",IFERROR(O10/N10,""))</x:f>
      </x:c>
      <x:c r="Q10" s="38" t="str">
        <x:v>未评估</x:v>
      </x:c>
      <x:c r="R10" s="38" t="str"/>
      <x:c r="S10" s="38" t="str"/>
    </x:row>
    <x:row r="11" ht="42" customHeight="1">
      <x:c r="A11" s="31" t="str">
        <x:v>COND-010</x:v>
      </x:c>
      <x:c r="B11" s="31" t="n">
        <x:v>2010</x:v>
      </x:c>
      <x:c r="C11" s="31" t="str">
        <x:v>decision_1</x:v>
      </x:c>
      <x:c r="D11" s="31" t="str">
        <x:v>决定一：南海岸集结</x:v>
      </x:c>
      <x:c r="E11" s="31" t="str">
        <x:v>留守骑士</x:v>
      </x:c>
      <x:c r="F11" s="31" t="str">
        <x:v>事件条件</x:v>
      </x:c>
      <x:c r="G11" s="39" t="str">
        <x:v>player_without_title</x:v>
      </x:c>
      <x:c r="H11" s="39" t="str">
        <x:v>勒布朗·詹姆斯此前尚未夺冠</x:v>
      </x:c>
      <x:c r="I11" s="39" t="str">
        <x:v>是</x:v>
      </x:c>
      <x:c r="J11" s="39" t="n">
        <x:v>0</x:v>
      </x:c>
      <x:c r="K11" s="39" t="str"/>
      <x:c r="L11" s="39" t="str">
        <x:v>分别验证满足与不满足两种状态</x:v>
      </x:c>
      <x:c r="M11" s="39" t="str">
        <x:v>不满足时不可触发；满足后再检查计分条件</x:v>
      </x:c>
      <x:c r="N11" s="38" t="str"/>
      <x:c r="O11" s="38" t="str"/>
      <x:c r="P11" s="43" t="str">
        <x:f>IF(N11="","",IFERROR(O11/N11,""))</x:f>
      </x:c>
      <x:c r="Q11" s="38" t="str">
        <x:v>未评估</x:v>
      </x:c>
      <x:c r="R11" s="38" t="str"/>
      <x:c r="S11" s="38" t="str"/>
    </x:row>
    <x:row r="12" ht="42" customHeight="1">
      <x:c r="A12" s="31" t="str">
        <x:v>COND-011</x:v>
      </x:c>
      <x:c r="B12" s="31" t="n">
        <x:v>2011</x:v>
      </x:c>
      <x:c r="C12" s="31" t="str">
        <x:v>melo_new_york</x:v>
      </x:c>
      <x:c r="D12" s="31" t="str">
        <x:v>甜瓜奔赴纽约</x:v>
      </x:c>
      <x:c r="E12" s="31" t="str">
        <x:v>无分支</x:v>
      </x:c>
      <x:c r="F12" s="31" t="str">
        <x:v>事件条件</x:v>
      </x:c>
      <x:c r="G12" s="39" t="str">
        <x:v>event_route_not_selected</x:v>
      </x:c>
      <x:c r="H12" s="39" t="str">
        <x:v>“决定一”未选择“百老汇巨星”分支</x:v>
      </x:c>
      <x:c r="I12" s="39" t="str">
        <x:v>是</x:v>
      </x:c>
      <x:c r="J12" s="39" t="n">
        <x:v>0</x:v>
      </x:c>
      <x:c r="K12" s="39" t="str">
        <x:v>事件:decision_1；分支:broadway</x:v>
      </x:c>
      <x:c r="L12" s="39" t="str">
        <x:v>分别验证满足与不满足两种状态</x:v>
      </x:c>
      <x:c r="M12" s="39" t="str">
        <x:v>不满足时不可触发；满足后再检查计分条件</x:v>
      </x:c>
      <x:c r="N12" s="38" t="str"/>
      <x:c r="O12" s="38" t="str"/>
      <x:c r="P12" s="43" t="str">
        <x:f>IF(N12="","",IFERROR(O12/N12,""))</x:f>
      </x:c>
      <x:c r="Q12" s="38" t="str">
        <x:v>未评估</x:v>
      </x:c>
      <x:c r="R12" s="38" t="str"/>
      <x:c r="S12" s="38" t="str"/>
    </x:row>
    <x:row r="13" ht="42" customHeight="1">
      <x:c r="A13" s="31" t="str">
        <x:v>COND-012</x:v>
      </x:c>
      <x:c r="B13" s="31" t="n">
        <x:v>2011</x:v>
      </x:c>
      <x:c r="C13" s="31" t="str">
        <x:v>cp3_lakers</x:v>
      </x:c>
      <x:c r="D13" s="31" t="str">
        <x:v>被叫停的交易</x:v>
      </x:c>
      <x:c r="E13" s="31" t="str">
        <x:v>无分支</x:v>
      </x:c>
      <x:c r="F13" s="31" t="str">
        <x:v>事件条件</x:v>
      </x:c>
      <x:c r="G13" s="39" t="str">
        <x:v>player_on_team</x:v>
      </x:c>
      <x:c r="H13" s="39" t="str">
        <x:v>科比·布莱恩特效力于洛杉矶湖人</x:v>
      </x:c>
      <x:c r="I13" s="39" t="str">
        <x:v>是</x:v>
      </x:c>
      <x:c r="J13" s="39" t="n">
        <x:v>0</x:v>
      </x:c>
      <x:c r="K13" s="39" t="str">
        <x:v>洛杉矶湖人</x:v>
      </x:c>
      <x:c r="L13" s="39" t="str">
        <x:v>分别验证满足与不满足两种状态</x:v>
      </x:c>
      <x:c r="M13" s="39" t="str">
        <x:v>不满足时不可触发；满足后再检查计分条件</x:v>
      </x:c>
      <x:c r="N13" s="38" t="str"/>
      <x:c r="O13" s="38" t="str"/>
      <x:c r="P13" s="43" t="str">
        <x:f>IF(N13="","",IFERROR(O13/N13,""))</x:f>
      </x:c>
      <x:c r="Q13" s="38" t="str">
        <x:v>未评估</x:v>
      </x:c>
      <x:c r="R13" s="38" t="str"/>
      <x:c r="S13" s="38" t="str"/>
    </x:row>
    <x:row r="14" ht="42" customHeight="1">
      <x:c r="A14" s="31" t="str">
        <x:v>COND-013</x:v>
      </x:c>
      <x:c r="B14" s="31" t="n">
        <x:v>2011</x:v>
      </x:c>
      <x:c r="C14" s="31" t="str">
        <x:v>cp3_lakers</x:v>
      </x:c>
      <x:c r="D14" s="31" t="str">
        <x:v>被叫停的交易</x:v>
      </x:c>
      <x:c r="E14" s="31" t="str">
        <x:v>无分支</x:v>
      </x:c>
      <x:c r="F14" s="31" t="str">
        <x:v>事件条件</x:v>
      </x:c>
      <x:c r="G14" s="39" t="str">
        <x:v>player_without_title</x:v>
      </x:c>
      <x:c r="H14" s="39" t="str">
        <x:v>克里斯·保罗此前尚未夺冠</x:v>
      </x:c>
      <x:c r="I14" s="39" t="str">
        <x:v>是</x:v>
      </x:c>
      <x:c r="J14" s="39" t="n">
        <x:v>0</x:v>
      </x:c>
      <x:c r="K14" s="39" t="str"/>
      <x:c r="L14" s="39" t="str">
        <x:v>分别验证满足与不满足两种状态</x:v>
      </x:c>
      <x:c r="M14" s="39" t="str">
        <x:v>不满足时不可触发；满足后再检查计分条件</x:v>
      </x:c>
      <x:c r="N14" s="38" t="str"/>
      <x:c r="O14" s="38" t="str"/>
      <x:c r="P14" s="43" t="str">
        <x:f>IF(N14="","",IFERROR(O14/N14,""))</x:f>
      </x:c>
      <x:c r="Q14" s="38" t="str">
        <x:v>未评估</x:v>
      </x:c>
      <x:c r="R14" s="38" t="str"/>
      <x:c r="S14" s="38" t="str"/>
    </x:row>
    <x:row r="15" ht="42" customHeight="1">
      <x:c r="A15" s="31" t="str">
        <x:v>COND-014</x:v>
      </x:c>
      <x:c r="B15" s="31" t="n">
        <x:v>2011</x:v>
      </x:c>
      <x:c r="C15" s="31" t="str">
        <x:v>cp3_lakers</x:v>
      </x:c>
      <x:c r="D15" s="31" t="str">
        <x:v>被叫停的交易</x:v>
      </x:c>
      <x:c r="E15" s="31" t="str">
        <x:v>无分支</x:v>
      </x:c>
      <x:c r="F15" s="31" t="str">
        <x:v>事件条件</x:v>
      </x:c>
      <x:c r="G15" s="39" t="str">
        <x:v>team_previous_wins_at_least</x:v>
      </x:c>
      <x:c r="H15" s="39" t="str">
        <x:v>洛杉矶湖人上赛季至少53胜（+1）</x:v>
      </x:c>
      <x:c r="I15" s="39" t="str">
        <x:v>否</x:v>
      </x:c>
      <x:c r="J15" s="39" t="n">
        <x:v>1</x:v>
      </x:c>
      <x:c r="K15" s="39" t="str">
        <x:v>53；洛杉矶湖人</x:v>
      </x:c>
      <x:c r="L15" s="39" t="str">
        <x:v>准备恰好达到与低于阈值的两组阵容/战绩</x:v>
      </x:c>
      <x:c r="M15" s="39" t="str">
        <x:v>满足后增加1分；仅差1分时可出现广告解锁</x:v>
      </x:c>
      <x:c r="N15" s="38" t="str"/>
      <x:c r="O15" s="38" t="str"/>
      <x:c r="P15" s="43" t="str">
        <x:f>IF(N15="","",IFERROR(O15/N15,""))</x:f>
      </x:c>
      <x:c r="Q15" s="38" t="str">
        <x:v>未评估</x:v>
      </x:c>
      <x:c r="R15" s="38" t="str"/>
      <x:c r="S15" s="38" t="str"/>
    </x:row>
    <x:row r="16" ht="42" customHeight="1">
      <x:c r="A16" s="31" t="str">
        <x:v>COND-015</x:v>
      </x:c>
      <x:c r="B16" s="31" t="n">
        <x:v>2011</x:v>
      </x:c>
      <x:c r="C16" s="31" t="str">
        <x:v>cp3_lakers</x:v>
      </x:c>
      <x:c r="D16" s="31" t="str">
        <x:v>被叫停的交易</x:v>
      </x:c>
      <x:c r="E16" s="31" t="str">
        <x:v>无分支</x:v>
      </x:c>
      <x:c r="F16" s="31" t="str">
        <x:v>事件条件</x:v>
      </x:c>
      <x:c r="G16" s="39" t="str">
        <x:v>team_max_elite_players</x:v>
      </x:c>
      <x:c r="H16" s="39" t="str">
        <x:v>洛杉矶湖人88+综评球员不超过2人（+1）</x:v>
      </x:c>
      <x:c r="I16" s="39" t="str">
        <x:v>否</x:v>
      </x:c>
      <x:c r="J16" s="39" t="n">
        <x:v>1</x:v>
      </x:c>
      <x:c r="K16" s="39" t="str">
        <x:v>2；OVR≥88；洛杉矶湖人</x:v>
      </x:c>
      <x:c r="L16" s="39" t="str">
        <x:v>准备恰好达到与低于阈值的两组阵容/战绩</x:v>
      </x:c>
      <x:c r="M16" s="39" t="str">
        <x:v>满足后增加1分；仅差1分时可出现广告解锁</x:v>
      </x:c>
      <x:c r="N16" s="38" t="str"/>
      <x:c r="O16" s="38" t="str"/>
      <x:c r="P16" s="43" t="str">
        <x:f>IF(N16="","",IFERROR(O16/N16,""))</x:f>
      </x:c>
      <x:c r="Q16" s="38" t="str">
        <x:v>未评估</x:v>
      </x:c>
      <x:c r="R16" s="38" t="str"/>
      <x:c r="S16" s="38" t="str"/>
    </x:row>
    <x:row r="17" ht="42" customHeight="1">
      <x:c r="A17" s="31" t="str">
        <x:v>COND-016</x:v>
      </x:c>
      <x:c r="B17" s="31" t="n">
        <x:v>2011</x:v>
      </x:c>
      <x:c r="C17" s="31" t="str">
        <x:v>cp3_lakers</x:v>
      </x:c>
      <x:c r="D17" s="31" t="str">
        <x:v>被叫停的交易</x:v>
      </x:c>
      <x:c r="E17" s="31" t="str">
        <x:v>无分支</x:v>
      </x:c>
      <x:c r="F17" s="31" t="str">
        <x:v>事件条件</x:v>
      </x:c>
      <x:c r="G17" s="39" t="str">
        <x:v>player_team_previous_wins_at_most</x:v>
      </x:c>
      <x:c r="H17" s="39" t="str">
        <x:v>克里斯·保罗所在球队上赛季不超过50胜（+1）</x:v>
      </x:c>
      <x:c r="I17" s="39" t="str">
        <x:v>否</x:v>
      </x:c>
      <x:c r="J17" s="39" t="n">
        <x:v>1</x:v>
      </x:c>
      <x:c r="K17" s="39" t="str">
        <x:v>50</x:v>
      </x:c>
      <x:c r="L17" s="39" t="str">
        <x:v>准备恰好达到与低于阈值的两组阵容/战绩</x:v>
      </x:c>
      <x:c r="M17" s="39" t="str">
        <x:v>满足后增加1分；仅差1分时可出现广告解锁</x:v>
      </x:c>
      <x:c r="N17" s="38" t="str"/>
      <x:c r="O17" s="38" t="str"/>
      <x:c r="P17" s="43" t="str">
        <x:f>IF(N17="","",IFERROR(O17/N17,""))</x:f>
      </x:c>
      <x:c r="Q17" s="38" t="str">
        <x:v>未评估</x:v>
      </x:c>
      <x:c r="R17" s="38" t="str"/>
      <x:c r="S17" s="38" t="str"/>
    </x:row>
    <x:row r="18" ht="42" customHeight="1">
      <x:c r="A18" s="31" t="str">
        <x:v>COND-017</x:v>
      </x:c>
      <x:c r="B18" s="31" t="n">
        <x:v>2012</x:v>
      </x:c>
      <x:c r="C18" s="31" t="str">
        <x:v>harden_houston</x:v>
      </x:c>
      <x:c r="D18" s="31" t="str">
        <x:v>大胡子独当一面</x:v>
      </x:c>
      <x:c r="E18" s="31" t="str">
        <x:v>无分支</x:v>
      </x:c>
      <x:c r="F18" s="31" t="str">
        <x:v>默认计分条件</x:v>
      </x:c>
      <x:c r="G18" s="39" t="str">
        <x:v>team_strategy_in</x:v>
      </x:c>
      <x:c r="H18" s="39" t="str">
        <x:v>休斯敦球队方向为争冠、季后赛竞争或观望调整</x:v>
      </x:c>
      <x:c r="I18" s="39" t="str">
        <x:v>否</x:v>
      </x:c>
      <x:c r="J18" s="39" t="n">
        <x:v>1</x:v>
      </x:c>
      <x:c r="K18" s="39" t="str">
        <x:v>contender/playoff/retooling；休斯敦</x:v>
      </x:c>
      <x:c r="L18" s="39" t="str">
        <x:v>准备恰好达到与低于阈值的两组阵容/战绩</x:v>
      </x:c>
      <x:c r="M18" s="39" t="str">
        <x:v>满足后增加1分；仅差1分时可出现广告解锁</x:v>
      </x:c>
      <x:c r="N18" s="38" t="str"/>
      <x:c r="O18" s="38" t="str"/>
      <x:c r="P18" s="43" t="str">
        <x:f>IF(N18="","",IFERROR(O18/N18,""))</x:f>
      </x:c>
      <x:c r="Q18" s="38" t="str">
        <x:v>未评估</x:v>
      </x:c>
      <x:c r="R18" s="38" t="str"/>
      <x:c r="S18" s="38" t="str"/>
    </x:row>
    <x:row r="19" ht="42" customHeight="1">
      <x:c r="A19" s="31" t="str">
        <x:v>COND-018</x:v>
      </x:c>
      <x:c r="B19" s="31" t="n">
        <x:v>2012</x:v>
      </x:c>
      <x:c r="C19" s="31" t="str">
        <x:v>harden_houston</x:v>
      </x:c>
      <x:c r="D19" s="31" t="str">
        <x:v>大胡子独当一面</x:v>
      </x:c>
      <x:c r="E19" s="31" t="str">
        <x:v>无分支</x:v>
      </x:c>
      <x:c r="F19" s="31" t="str">
        <x:v>默认计分条件</x:v>
      </x:c>
      <x:c r="G19" s="39" t="str">
        <x:v>team_max_elite_players</x:v>
      </x:c>
      <x:c r="H19" s="39" t="str">
        <x:v>休斯敦88+综评球员不超过2人</x:v>
      </x:c>
      <x:c r="I19" s="39" t="str">
        <x:v>否</x:v>
      </x:c>
      <x:c r="J19" s="39" t="n">
        <x:v>1</x:v>
      </x:c>
      <x:c r="K19" s="39" t="str">
        <x:v>2；OVR≥88；休斯敦</x:v>
      </x:c>
      <x:c r="L19" s="39" t="str">
        <x:v>准备恰好达到与低于阈值的两组阵容/战绩</x:v>
      </x:c>
      <x:c r="M19" s="39" t="str">
        <x:v>满足后增加1分；仅差1分时可出现广告解锁</x:v>
      </x:c>
      <x:c r="N19" s="38" t="str"/>
      <x:c r="O19" s="38" t="str"/>
      <x:c r="P19" s="43" t="str">
        <x:f>IF(N19="","",IFERROR(O19/N19,""))</x:f>
      </x:c>
      <x:c r="Q19" s="38" t="str">
        <x:v>未评估</x:v>
      </x:c>
      <x:c r="R19" s="38" t="str"/>
      <x:c r="S19" s="38" t="str"/>
    </x:row>
    <x:row r="20" ht="42" customHeight="1">
      <x:c r="A20" s="31" t="str">
        <x:v>COND-019</x:v>
      </x:c>
      <x:c r="B20" s="31" t="n">
        <x:v>2012</x:v>
      </x:c>
      <x:c r="C20" s="31" t="str">
        <x:v>harden_houston</x:v>
      </x:c>
      <x:c r="D20" s="31" t="str">
        <x:v>大胡子独当一面</x:v>
      </x:c>
      <x:c r="E20" s="31" t="str">
        <x:v>无分支</x:v>
      </x:c>
      <x:c r="F20" s="31" t="str">
        <x:v>默认计分条件</x:v>
      </x:c>
      <x:c r="G20" s="39" t="str">
        <x:v>player_team_previous_wins_at_most</x:v>
      </x:c>
      <x:c r="H20" s="39" t="str">
        <x:v>詹姆斯·哈登所在球队上赛季不超过55胜</x:v>
      </x:c>
      <x:c r="I20" s="39" t="str">
        <x:v>否</x:v>
      </x:c>
      <x:c r="J20" s="39" t="n">
        <x:v>1</x:v>
      </x:c>
      <x:c r="K20" s="39" t="str">
        <x:v>55</x:v>
      </x:c>
      <x:c r="L20" s="39" t="str">
        <x:v>准备恰好达到与低于阈值的两组阵容/战绩</x:v>
      </x:c>
      <x:c r="M20" s="39" t="str">
        <x:v>满足后增加1分；仅差1分时可出现广告解锁</x:v>
      </x:c>
      <x:c r="N20" s="38" t="str"/>
      <x:c r="O20" s="38" t="str"/>
      <x:c r="P20" s="43" t="str">
        <x:f>IF(N20="","",IFERROR(O20/N20,""))</x:f>
      </x:c>
      <x:c r="Q20" s="38" t="str">
        <x:v>未评估</x:v>
      </x:c>
      <x:c r="R20" s="38" t="str"/>
      <x:c r="S20" s="38" t="str"/>
    </x:row>
    <x:row r="21" ht="42" customHeight="1">
      <x:c r="A21" s="31" t="str">
        <x:v>COND-020</x:v>
      </x:c>
      <x:c r="B21" s="31" t="n">
        <x:v>2013</x:v>
      </x:c>
      <x:c r="C21" s="31" t="str">
        <x:v>howard_houston</x:v>
      </x:c>
      <x:c r="D21" s="31" t="str">
        <x:v>魔兽空降休斯敦</x:v>
      </x:c>
      <x:c r="E21" s="31" t="str">
        <x:v>无分支</x:v>
      </x:c>
      <x:c r="F21" s="31" t="str">
        <x:v>事件条件</x:v>
      </x:c>
      <x:c r="G21" s="39" t="str">
        <x:v>event_completed</x:v>
      </x:c>
      <x:c r="H21" s="39" t="str">
        <x:v>已完成“大胡子独当一面”</x:v>
      </x:c>
      <x:c r="I21" s="39" t="str">
        <x:v>是</x:v>
      </x:c>
      <x:c r="J21" s="39" t="n">
        <x:v>0</x:v>
      </x:c>
      <x:c r="K21" s="39" t="str">
        <x:v>事件:harden_houston</x:v>
      </x:c>
      <x:c r="L21" s="39" t="str">
        <x:v>分别验证满足与不满足两种状态</x:v>
      </x:c>
      <x:c r="M21" s="39" t="str">
        <x:v>不满足时不可触发；满足后再检查计分条件</x:v>
      </x:c>
      <x:c r="N21" s="38" t="str"/>
      <x:c r="O21" s="38" t="str"/>
      <x:c r="P21" s="43" t="str">
        <x:f>IF(N21="","",IFERROR(O21/N21,""))</x:f>
      </x:c>
      <x:c r="Q21" s="38" t="str">
        <x:v>未评估</x:v>
      </x:c>
      <x:c r="R21" s="38" t="str"/>
      <x:c r="S21" s="38" t="str"/>
    </x:row>
    <x:row r="22" ht="42" customHeight="1">
      <x:c r="A22" s="31" t="str">
        <x:v>COND-021</x:v>
      </x:c>
      <x:c r="B22" s="31" t="n">
        <x:v>2013</x:v>
      </x:c>
      <x:c r="C22" s="31" t="str">
        <x:v>howard_houston</x:v>
      </x:c>
      <x:c r="D22" s="31" t="str">
        <x:v>魔兽空降休斯敦</x:v>
      </x:c>
      <x:c r="E22" s="31" t="str">
        <x:v>无分支</x:v>
      </x:c>
      <x:c r="F22" s="31" t="str">
        <x:v>事件条件</x:v>
      </x:c>
      <x:c r="G22" s="39" t="str">
        <x:v>team_max_elite_players</x:v>
      </x:c>
      <x:c r="H22" s="39" t="str">
        <x:v>休斯敦88+综评球员不超过2人（+1）</x:v>
      </x:c>
      <x:c r="I22" s="39" t="str">
        <x:v>否</x:v>
      </x:c>
      <x:c r="J22" s="39" t="n">
        <x:v>1</x:v>
      </x:c>
      <x:c r="K22" s="39" t="str">
        <x:v>2；OVR≥88；休斯敦</x:v>
      </x:c>
      <x:c r="L22" s="39" t="str">
        <x:v>准备恰好达到与低于阈值的两组阵容/战绩</x:v>
      </x:c>
      <x:c r="M22" s="39" t="str">
        <x:v>满足后增加1分；仅差1分时可出现广告解锁</x:v>
      </x:c>
      <x:c r="N22" s="38" t="str"/>
      <x:c r="O22" s="38" t="str"/>
      <x:c r="P22" s="43" t="str">
        <x:f>IF(N22="","",IFERROR(O22/N22,""))</x:f>
      </x:c>
      <x:c r="Q22" s="38" t="str">
        <x:v>未评估</x:v>
      </x:c>
      <x:c r="R22" s="38" t="str"/>
      <x:c r="S22" s="38" t="str"/>
    </x:row>
    <x:row r="23" ht="42" customHeight="1">
      <x:c r="A23" s="31" t="str">
        <x:v>COND-022</x:v>
      </x:c>
      <x:c r="B23" s="31" t="n">
        <x:v>2013</x:v>
      </x:c>
      <x:c r="C23" s="31" t="str">
        <x:v>howard_houston</x:v>
      </x:c>
      <x:c r="D23" s="31" t="str">
        <x:v>魔兽空降休斯敦</x:v>
      </x:c>
      <x:c r="E23" s="31" t="str">
        <x:v>无分支</x:v>
      </x:c>
      <x:c r="F23" s="31" t="str">
        <x:v>事件条件</x:v>
      </x:c>
      <x:c r="G23" s="39" t="str">
        <x:v>player_team_previous_wins_at_most</x:v>
      </x:c>
      <x:c r="H23" s="39" t="str">
        <x:v>德怀特·霍华德所在球队上赛季不超过50胜（+1）</x:v>
      </x:c>
      <x:c r="I23" s="39" t="str">
        <x:v>否</x:v>
      </x:c>
      <x:c r="J23" s="39" t="n">
        <x:v>1</x:v>
      </x:c>
      <x:c r="K23" s="39" t="str">
        <x:v>50</x:v>
      </x:c>
      <x:c r="L23" s="39" t="str">
        <x:v>准备恰好达到与低于阈值的两组阵容/战绩</x:v>
      </x:c>
      <x:c r="M23" s="39" t="str">
        <x:v>满足后增加1分；仅差1分时可出现广告解锁</x:v>
      </x:c>
      <x:c r="N23" s="38" t="str"/>
      <x:c r="O23" s="38" t="str"/>
      <x:c r="P23" s="43" t="str">
        <x:f>IF(N23="","",IFERROR(O23/N23,""))</x:f>
      </x:c>
      <x:c r="Q23" s="38" t="str">
        <x:v>未评估</x:v>
      </x:c>
      <x:c r="R23" s="38" t="str"/>
      <x:c r="S23" s="38" t="str"/>
    </x:row>
    <x:row r="24" ht="42" customHeight="1">
      <x:c r="A24" s="31" t="str">
        <x:v>COND-023</x:v>
      </x:c>
      <x:c r="B24" s="31" t="n">
        <x:v>2014</x:v>
      </x:c>
      <x:c r="C24" s="31" t="str">
        <x:v>decision_2</x:v>
      </x:c>
      <x:c r="D24" s="31" t="str">
        <x:v>决定二：回到故乡</x:v>
      </x:c>
      <x:c r="E24" s="31" t="str">
        <x:v>无分支</x:v>
      </x:c>
      <x:c r="F24" s="31" t="str">
        <x:v>事件条件</x:v>
      </x:c>
      <x:c r="G24" s="39" t="str">
        <x:v>event_completed_route_not_selected</x:v>
      </x:c>
      <x:c r="H24" s="39" t="str">
        <x:v>已完成“决定一”，且未选择“留守骑士”</x:v>
      </x:c>
      <x:c r="I24" s="39" t="str">
        <x:v>是</x:v>
      </x:c>
      <x:c r="J24" s="39" t="n">
        <x:v>0</x:v>
      </x:c>
      <x:c r="K24" s="39" t="str">
        <x:v>事件:decision_1；分支:stay_cavaliers</x:v>
      </x:c>
      <x:c r="L24" s="39" t="str">
        <x:v>分别验证满足与不满足两种状态</x:v>
      </x:c>
      <x:c r="M24" s="39" t="str">
        <x:v>不满足时不可触发；满足后再检查计分条件</x:v>
      </x:c>
      <x:c r="N24" s="38" t="str"/>
      <x:c r="O24" s="38" t="str"/>
      <x:c r="P24" s="43" t="str">
        <x:f>IF(N24="","",IFERROR(O24/N24,""))</x:f>
      </x:c>
      <x:c r="Q24" s="38" t="str">
        <x:v>未评估</x:v>
      </x:c>
      <x:c r="R24" s="38" t="str"/>
      <x:c r="S24" s="38" t="str"/>
    </x:row>
    <x:row r="25" ht="42" customHeight="1">
      <x:c r="A25" s="31" t="str">
        <x:v>COND-024</x:v>
      </x:c>
      <x:c r="B25" s="31" t="n">
        <x:v>2014</x:v>
      </x:c>
      <x:c r="C25" s="31" t="str">
        <x:v>decision_2</x:v>
      </x:c>
      <x:c r="D25" s="31" t="str">
        <x:v>决定二：回到故乡</x:v>
      </x:c>
      <x:c r="E25" s="31" t="str">
        <x:v>无分支</x:v>
      </x:c>
      <x:c r="F25" s="31" t="str">
        <x:v>默认计分条件</x:v>
      </x:c>
      <x:c r="G25" s="39" t="str">
        <x:v>team_strategy_in</x:v>
      </x:c>
      <x:c r="H25" s="39" t="str">
        <x:v>克里夫兰球队方向为争冠、季后赛竞争或观望调整</x:v>
      </x:c>
      <x:c r="I25" s="39" t="str">
        <x:v>否</x:v>
      </x:c>
      <x:c r="J25" s="39" t="n">
        <x:v>1</x:v>
      </x:c>
      <x:c r="K25" s="39" t="str">
        <x:v>contender/playoff/retooling；克里夫兰</x:v>
      </x:c>
      <x:c r="L25" s="39" t="str">
        <x:v>准备恰好达到与低于阈值的两组阵容/战绩</x:v>
      </x:c>
      <x:c r="M25" s="39" t="str">
        <x:v>满足后增加1分；仅差1分时可出现广告解锁</x:v>
      </x:c>
      <x:c r="N25" s="38" t="str"/>
      <x:c r="O25" s="38" t="str"/>
      <x:c r="P25" s="43" t="str">
        <x:f>IF(N25="","",IFERROR(O25/N25,""))</x:f>
      </x:c>
      <x:c r="Q25" s="38" t="str">
        <x:v>未评估</x:v>
      </x:c>
      <x:c r="R25" s="38" t="str"/>
      <x:c r="S25" s="38" t="str"/>
    </x:row>
    <x:row r="26" ht="42" customHeight="1">
      <x:c r="A26" s="31" t="str">
        <x:v>COND-025</x:v>
      </x:c>
      <x:c r="B26" s="31" t="n">
        <x:v>2014</x:v>
      </x:c>
      <x:c r="C26" s="31" t="str">
        <x:v>decision_2</x:v>
      </x:c>
      <x:c r="D26" s="31" t="str">
        <x:v>决定二：回到故乡</x:v>
      </x:c>
      <x:c r="E26" s="31" t="str">
        <x:v>无分支</x:v>
      </x:c>
      <x:c r="F26" s="31" t="str">
        <x:v>默认计分条件</x:v>
      </x:c>
      <x:c r="G26" s="39" t="str">
        <x:v>team_max_elite_players</x:v>
      </x:c>
      <x:c r="H26" s="39" t="str">
        <x:v>克里夫兰88+综评球员不超过2人</x:v>
      </x:c>
      <x:c r="I26" s="39" t="str">
        <x:v>否</x:v>
      </x:c>
      <x:c r="J26" s="39" t="n">
        <x:v>1</x:v>
      </x:c>
      <x:c r="K26" s="39" t="str">
        <x:v>2；OVR≥88；克里夫兰</x:v>
      </x:c>
      <x:c r="L26" s="39" t="str">
        <x:v>准备恰好达到与低于阈值的两组阵容/战绩</x:v>
      </x:c>
      <x:c r="M26" s="39" t="str">
        <x:v>满足后增加1分；仅差1分时可出现广告解锁</x:v>
      </x:c>
      <x:c r="N26" s="38" t="str"/>
      <x:c r="O26" s="38" t="str"/>
      <x:c r="P26" s="43" t="str">
        <x:f>IF(N26="","",IFERROR(O26/N26,""))</x:f>
      </x:c>
      <x:c r="Q26" s="38" t="str">
        <x:v>未评估</x:v>
      </x:c>
      <x:c r="R26" s="38" t="str"/>
      <x:c r="S26" s="38" t="str"/>
    </x:row>
    <x:row r="27" ht="42" customHeight="1">
      <x:c r="A27" s="31" t="str">
        <x:v>COND-026</x:v>
      </x:c>
      <x:c r="B27" s="31" t="n">
        <x:v>2014</x:v>
      </x:c>
      <x:c r="C27" s="31" t="str">
        <x:v>decision_2</x:v>
      </x:c>
      <x:c r="D27" s="31" t="str">
        <x:v>决定二：回到故乡</x:v>
      </x:c>
      <x:c r="E27" s="31" t="str">
        <x:v>无分支</x:v>
      </x:c>
      <x:c r="F27" s="31" t="str">
        <x:v>默认计分条件</x:v>
      </x:c>
      <x:c r="G27" s="39" t="str">
        <x:v>player_team_previous_wins_at_most</x:v>
      </x:c>
      <x:c r="H27" s="39" t="str">
        <x:v>勒布朗·詹姆斯所在球队上赛季不超过55胜</x:v>
      </x:c>
      <x:c r="I27" s="39" t="str">
        <x:v>否</x:v>
      </x:c>
      <x:c r="J27" s="39" t="n">
        <x:v>1</x:v>
      </x:c>
      <x:c r="K27" s="39" t="str">
        <x:v>55</x:v>
      </x:c>
      <x:c r="L27" s="39" t="str">
        <x:v>准备恰好达到与低于阈值的两组阵容/战绩</x:v>
      </x:c>
      <x:c r="M27" s="39" t="str">
        <x:v>满足后增加1分；仅差1分时可出现广告解锁</x:v>
      </x:c>
      <x:c r="N27" s="38" t="str"/>
      <x:c r="O27" s="38" t="str"/>
      <x:c r="P27" s="43" t="str">
        <x:f>IF(N27="","",IFERROR(O27/N27,""))</x:f>
      </x:c>
      <x:c r="Q27" s="38" t="str">
        <x:v>未评估</x:v>
      </x:c>
      <x:c r="R27" s="38" t="str"/>
      <x:c r="S27" s="38" t="str"/>
    </x:row>
    <x:row r="28" ht="42" customHeight="1">
      <x:c r="A28" s="31" t="str">
        <x:v>COND-027</x:v>
      </x:c>
      <x:c r="B28" s="31" t="n">
        <x:v>2014</x:v>
      </x:c>
      <x:c r="C28" s="31" t="str">
        <x:v>love_cleveland</x:v>
      </x:c>
      <x:c r="D28" s="31" t="str">
        <x:v>三巨头最后一块拼图</x:v>
      </x:c>
      <x:c r="E28" s="31" t="str">
        <x:v>无分支</x:v>
      </x:c>
      <x:c r="F28" s="31" t="str">
        <x:v>事件条件</x:v>
      </x:c>
      <x:c r="G28" s="39" t="str">
        <x:v>event_completed</x:v>
      </x:c>
      <x:c r="H28" s="39" t="str">
        <x:v>已完成“决定二”</x:v>
      </x:c>
      <x:c r="I28" s="39" t="str">
        <x:v>是</x:v>
      </x:c>
      <x:c r="J28" s="39" t="n">
        <x:v>0</x:v>
      </x:c>
      <x:c r="K28" s="39" t="str">
        <x:v>事件:decision_2</x:v>
      </x:c>
      <x:c r="L28" s="39" t="str">
        <x:v>分别验证满足与不满足两种状态</x:v>
      </x:c>
      <x:c r="M28" s="39" t="str">
        <x:v>不满足时不可触发；满足后再检查计分条件</x:v>
      </x:c>
      <x:c r="N28" s="38" t="str"/>
      <x:c r="O28" s="38" t="str"/>
      <x:c r="P28" s="43" t="str">
        <x:f>IF(N28="","",IFERROR(O28/N28,""))</x:f>
      </x:c>
      <x:c r="Q28" s="38" t="str">
        <x:v>未评估</x:v>
      </x:c>
      <x:c r="R28" s="38" t="str"/>
      <x:c r="S28" s="38" t="str"/>
    </x:row>
    <x:row r="29" ht="42" customHeight="1">
      <x:c r="A29" s="31" t="str">
        <x:v>COND-028</x:v>
      </x:c>
      <x:c r="B29" s="31" t="n">
        <x:v>2014</x:v>
      </x:c>
      <x:c r="C29" s="31" t="str">
        <x:v>love_cleveland</x:v>
      </x:c>
      <x:c r="D29" s="31" t="str">
        <x:v>三巨头最后一块拼图</x:v>
      </x:c>
      <x:c r="E29" s="31" t="str">
        <x:v>无分支</x:v>
      </x:c>
      <x:c r="F29" s="31" t="str">
        <x:v>事件条件</x:v>
      </x:c>
      <x:c r="G29" s="39" t="str">
        <x:v>player_on_team</x:v>
      </x:c>
      <x:c r="H29" s="39" t="str">
        <x:v>凯里·欧文效力于克里夫兰</x:v>
      </x:c>
      <x:c r="I29" s="39" t="str">
        <x:v>是</x:v>
      </x:c>
      <x:c r="J29" s="39" t="n">
        <x:v>0</x:v>
      </x:c>
      <x:c r="K29" s="39" t="str">
        <x:v>克里夫兰</x:v>
      </x:c>
      <x:c r="L29" s="39" t="str">
        <x:v>分别验证满足与不满足两种状态</x:v>
      </x:c>
      <x:c r="M29" s="39" t="str">
        <x:v>不满足时不可触发；满足后再检查计分条件</x:v>
      </x:c>
      <x:c r="N29" s="38" t="str"/>
      <x:c r="O29" s="38" t="str"/>
      <x:c r="P29" s="43" t="str">
        <x:f>IF(N29="","",IFERROR(O29/N29,""))</x:f>
      </x:c>
      <x:c r="Q29" s="38" t="str">
        <x:v>未评估</x:v>
      </x:c>
      <x:c r="R29" s="38" t="str"/>
      <x:c r="S29" s="38" t="str"/>
    </x:row>
    <x:row r="30" ht="42" customHeight="1">
      <x:c r="A30" s="31" t="str">
        <x:v>COND-029</x:v>
      </x:c>
      <x:c r="B30" s="31" t="n">
        <x:v>2014</x:v>
      </x:c>
      <x:c r="C30" s="31" t="str">
        <x:v>love_cleveland</x:v>
      </x:c>
      <x:c r="D30" s="31" t="str">
        <x:v>三巨头最后一块拼图</x:v>
      </x:c>
      <x:c r="E30" s="31" t="str">
        <x:v>无分支</x:v>
      </x:c>
      <x:c r="F30" s="31" t="str">
        <x:v>事件条件</x:v>
      </x:c>
      <x:c r="G30" s="39" t="str">
        <x:v>player_on_team</x:v>
      </x:c>
      <x:c r="H30" s="39" t="str">
        <x:v>勒布朗·詹姆斯效力于克里夫兰</x:v>
      </x:c>
      <x:c r="I30" s="39" t="str">
        <x:v>是</x:v>
      </x:c>
      <x:c r="J30" s="39" t="n">
        <x:v>0</x:v>
      </x:c>
      <x:c r="K30" s="39" t="str">
        <x:v>克里夫兰</x:v>
      </x:c>
      <x:c r="L30" s="39" t="str">
        <x:v>分别验证满足与不满足两种状态</x:v>
      </x:c>
      <x:c r="M30" s="39" t="str">
        <x:v>不满足时不可触发；满足后再检查计分条件</x:v>
      </x:c>
      <x:c r="N30" s="38" t="str"/>
      <x:c r="O30" s="38" t="str"/>
      <x:c r="P30" s="43" t="str">
        <x:f>IF(N30="","",IFERROR(O30/N30,""))</x:f>
      </x:c>
      <x:c r="Q30" s="38" t="str">
        <x:v>未评估</x:v>
      </x:c>
      <x:c r="R30" s="38" t="str"/>
      <x:c r="S30" s="38" t="str"/>
    </x:row>
    <x:row r="31" ht="42" customHeight="1">
      <x:c r="A31" s="31" t="str">
        <x:v>COND-030</x:v>
      </x:c>
      <x:c r="B31" s="31" t="n">
        <x:v>2014</x:v>
      </x:c>
      <x:c r="C31" s="31" t="str">
        <x:v>love_cleveland</x:v>
      </x:c>
      <x:c r="D31" s="31" t="str">
        <x:v>三巨头最后一块拼图</x:v>
      </x:c>
      <x:c r="E31" s="31" t="str">
        <x:v>无分支</x:v>
      </x:c>
      <x:c r="F31" s="31" t="str">
        <x:v>默认计分条件</x:v>
      </x:c>
      <x:c r="G31" s="39" t="str">
        <x:v>team_strategy_in</x:v>
      </x:c>
      <x:c r="H31" s="39" t="str">
        <x:v>克里夫兰球队方向为争冠、季后赛竞争或观望调整</x:v>
      </x:c>
      <x:c r="I31" s="39" t="str">
        <x:v>否</x:v>
      </x:c>
      <x:c r="J31" s="39" t="n">
        <x:v>1</x:v>
      </x:c>
      <x:c r="K31" s="39" t="str">
        <x:v>contender/playoff/retooling；克里夫兰</x:v>
      </x:c>
      <x:c r="L31" s="39" t="str">
        <x:v>准备恰好达到与低于阈值的两组阵容/战绩</x:v>
      </x:c>
      <x:c r="M31" s="39" t="str">
        <x:v>满足后增加1分；仅差1分时可出现广告解锁</x:v>
      </x:c>
      <x:c r="N31" s="38" t="str"/>
      <x:c r="O31" s="38" t="str"/>
      <x:c r="P31" s="43" t="str">
        <x:f>IF(N31="","",IFERROR(O31/N31,""))</x:f>
      </x:c>
      <x:c r="Q31" s="38" t="str">
        <x:v>未评估</x:v>
      </x:c>
      <x:c r="R31" s="38" t="str"/>
      <x:c r="S31" s="38" t="str"/>
    </x:row>
    <x:row r="32" ht="42" customHeight="1">
      <x:c r="A32" s="31" t="str">
        <x:v>COND-031</x:v>
      </x:c>
      <x:c r="B32" s="31" t="n">
        <x:v>2014</x:v>
      </x:c>
      <x:c r="C32" s="31" t="str">
        <x:v>love_cleveland</x:v>
      </x:c>
      <x:c r="D32" s="31" t="str">
        <x:v>三巨头最后一块拼图</x:v>
      </x:c>
      <x:c r="E32" s="31" t="str">
        <x:v>无分支</x:v>
      </x:c>
      <x:c r="F32" s="31" t="str">
        <x:v>默认计分条件</x:v>
      </x:c>
      <x:c r="G32" s="39" t="str">
        <x:v>team_max_elite_players</x:v>
      </x:c>
      <x:c r="H32" s="39" t="str">
        <x:v>克里夫兰88+综评球员不超过2人</x:v>
      </x:c>
      <x:c r="I32" s="39" t="str">
        <x:v>否</x:v>
      </x:c>
      <x:c r="J32" s="39" t="n">
        <x:v>1</x:v>
      </x:c>
      <x:c r="K32" s="39" t="str">
        <x:v>2；OVR≥88；克里夫兰</x:v>
      </x:c>
      <x:c r="L32" s="39" t="str">
        <x:v>准备恰好达到与低于阈值的两组阵容/战绩</x:v>
      </x:c>
      <x:c r="M32" s="39" t="str">
        <x:v>满足后增加1分；仅差1分时可出现广告解锁</x:v>
      </x:c>
      <x:c r="N32" s="38" t="str"/>
      <x:c r="O32" s="38" t="str"/>
      <x:c r="P32" s="43" t="str">
        <x:f>IF(N32="","",IFERROR(O32/N32,""))</x:f>
      </x:c>
      <x:c r="Q32" s="38" t="str">
        <x:v>未评估</x:v>
      </x:c>
      <x:c r="R32" s="38" t="str"/>
      <x:c r="S32" s="38" t="str"/>
    </x:row>
    <x:row r="33" ht="42" customHeight="1">
      <x:c r="A33" s="31" t="str">
        <x:v>COND-032</x:v>
      </x:c>
      <x:c r="B33" s="31" t="n">
        <x:v>2014</x:v>
      </x:c>
      <x:c r="C33" s="31" t="str">
        <x:v>love_cleveland</x:v>
      </x:c>
      <x:c r="D33" s="31" t="str">
        <x:v>三巨头最后一块拼图</x:v>
      </x:c>
      <x:c r="E33" s="31" t="str">
        <x:v>无分支</x:v>
      </x:c>
      <x:c r="F33" s="31" t="str">
        <x:v>默认计分条件</x:v>
      </x:c>
      <x:c r="G33" s="39" t="str">
        <x:v>player_team_previous_wins_at_most</x:v>
      </x:c>
      <x:c r="H33" s="39" t="str">
        <x:v>凯文·乐福所在球队上赛季不超过55胜</x:v>
      </x:c>
      <x:c r="I33" s="39" t="str">
        <x:v>否</x:v>
      </x:c>
      <x:c r="J33" s="39" t="n">
        <x:v>1</x:v>
      </x:c>
      <x:c r="K33" s="39" t="str">
        <x:v>55</x:v>
      </x:c>
      <x:c r="L33" s="39" t="str">
        <x:v>准备恰好达到与低于阈值的两组阵容/战绩</x:v>
      </x:c>
      <x:c r="M33" s="39" t="str">
        <x:v>满足后增加1分；仅差1分时可出现广告解锁</x:v>
      </x:c>
      <x:c r="N33" s="38" t="str"/>
      <x:c r="O33" s="38" t="str"/>
      <x:c r="P33" s="43" t="str">
        <x:f>IF(N33="","",IFERROR(O33/N33,""))</x:f>
      </x:c>
      <x:c r="Q33" s="38" t="str">
        <x:v>未评估</x:v>
      </x:c>
      <x:c r="R33" s="38" t="str"/>
      <x:c r="S33" s="38" t="str"/>
    </x:row>
    <x:row r="34" ht="42" customHeight="1">
      <x:c r="A34" s="31" t="str">
        <x:v>COND-033</x:v>
      </x:c>
      <x:c r="B34" s="31" t="n">
        <x:v>2015</x:v>
      </x:c>
      <x:c r="C34" s="31" t="str">
        <x:v>aldridge_spurs</x:v>
      </x:c>
      <x:c r="D34" s="31" t="str">
        <x:v>马刺迎来全明星内线</x:v>
      </x:c>
      <x:c r="E34" s="31" t="str">
        <x:v>无分支</x:v>
      </x:c>
      <x:c r="F34" s="31" t="str">
        <x:v>默认计分条件</x:v>
      </x:c>
      <x:c r="G34" s="39" t="str">
        <x:v>team_strategy_in</x:v>
      </x:c>
      <x:c r="H34" s="39" t="str">
        <x:v>圣安东尼奥球队方向为争冠、季后赛竞争或观望调整</x:v>
      </x:c>
      <x:c r="I34" s="39" t="str">
        <x:v>否</x:v>
      </x:c>
      <x:c r="J34" s="39" t="n">
        <x:v>1</x:v>
      </x:c>
      <x:c r="K34" s="39" t="str">
        <x:v>contender/playoff/retooling；圣安东尼奥</x:v>
      </x:c>
      <x:c r="L34" s="39" t="str">
        <x:v>准备恰好达到与低于阈值的两组阵容/战绩</x:v>
      </x:c>
      <x:c r="M34" s="39" t="str">
        <x:v>满足后增加1分；仅差1分时可出现广告解锁</x:v>
      </x:c>
      <x:c r="N34" s="38" t="str"/>
      <x:c r="O34" s="38" t="str"/>
      <x:c r="P34" s="43" t="str">
        <x:f>IF(N34="","",IFERROR(O34/N34,""))</x:f>
      </x:c>
      <x:c r="Q34" s="38" t="str">
        <x:v>未评估</x:v>
      </x:c>
      <x:c r="R34" s="38" t="str"/>
      <x:c r="S34" s="38" t="str"/>
    </x:row>
    <x:row r="35" ht="42" customHeight="1">
      <x:c r="A35" s="31" t="str">
        <x:v>COND-034</x:v>
      </x:c>
      <x:c r="B35" s="31" t="n">
        <x:v>2015</x:v>
      </x:c>
      <x:c r="C35" s="31" t="str">
        <x:v>aldridge_spurs</x:v>
      </x:c>
      <x:c r="D35" s="31" t="str">
        <x:v>马刺迎来全明星内线</x:v>
      </x:c>
      <x:c r="E35" s="31" t="str">
        <x:v>无分支</x:v>
      </x:c>
      <x:c r="F35" s="31" t="str">
        <x:v>默认计分条件</x:v>
      </x:c>
      <x:c r="G35" s="39" t="str">
        <x:v>team_max_elite_players</x:v>
      </x:c>
      <x:c r="H35" s="39" t="str">
        <x:v>圣安东尼奥88+综评球员不超过2人</x:v>
      </x:c>
      <x:c r="I35" s="39" t="str">
        <x:v>否</x:v>
      </x:c>
      <x:c r="J35" s="39" t="n">
        <x:v>1</x:v>
      </x:c>
      <x:c r="K35" s="39" t="str">
        <x:v>2；OVR≥88；圣安东尼奥</x:v>
      </x:c>
      <x:c r="L35" s="39" t="str">
        <x:v>准备恰好达到与低于阈值的两组阵容/战绩</x:v>
      </x:c>
      <x:c r="M35" s="39" t="str">
        <x:v>满足后增加1分；仅差1分时可出现广告解锁</x:v>
      </x:c>
      <x:c r="N35" s="38" t="str"/>
      <x:c r="O35" s="38" t="str"/>
      <x:c r="P35" s="43" t="str">
        <x:f>IF(N35="","",IFERROR(O35/N35,""))</x:f>
      </x:c>
      <x:c r="Q35" s="38" t="str">
        <x:v>未评估</x:v>
      </x:c>
      <x:c r="R35" s="38" t="str"/>
      <x:c r="S35" s="38" t="str"/>
    </x:row>
    <x:row r="36" ht="42" customHeight="1">
      <x:c r="A36" s="31" t="str">
        <x:v>COND-035</x:v>
      </x:c>
      <x:c r="B36" s="31" t="n">
        <x:v>2015</x:v>
      </x:c>
      <x:c r="C36" s="31" t="str">
        <x:v>aldridge_spurs</x:v>
      </x:c>
      <x:c r="D36" s="31" t="str">
        <x:v>马刺迎来全明星内线</x:v>
      </x:c>
      <x:c r="E36" s="31" t="str">
        <x:v>无分支</x:v>
      </x:c>
      <x:c r="F36" s="31" t="str">
        <x:v>默认计分条件</x:v>
      </x:c>
      <x:c r="G36" s="39" t="str">
        <x:v>player_team_previous_wins_at_most</x:v>
      </x:c>
      <x:c r="H36" s="39" t="str">
        <x:v>拉马库斯·阿尔德里奇所在球队上赛季不超过55胜</x:v>
      </x:c>
      <x:c r="I36" s="39" t="str">
        <x:v>否</x:v>
      </x:c>
      <x:c r="J36" s="39" t="n">
        <x:v>1</x:v>
      </x:c>
      <x:c r="K36" s="39" t="str">
        <x:v>55</x:v>
      </x:c>
      <x:c r="L36" s="39" t="str">
        <x:v>准备恰好达到与低于阈值的两组阵容/战绩</x:v>
      </x:c>
      <x:c r="M36" s="39" t="str">
        <x:v>满足后增加1分；仅差1分时可出现广告解锁</x:v>
      </x:c>
      <x:c r="N36" s="38" t="str"/>
      <x:c r="O36" s="38" t="str"/>
      <x:c r="P36" s="43" t="str">
        <x:f>IF(N36="","",IFERROR(O36/N36,""))</x:f>
      </x:c>
      <x:c r="Q36" s="38" t="str">
        <x:v>未评估</x:v>
      </x:c>
      <x:c r="R36" s="38" t="str"/>
      <x:c r="S36" s="38" t="str"/>
    </x:row>
    <x:row r="37" ht="42" customHeight="1">
      <x:c r="A37" s="31" t="str">
        <x:v>COND-036</x:v>
      </x:c>
      <x:c r="B37" s="31" t="n">
        <x:v>2016</x:v>
      </x:c>
      <x:c r="C37" s="31" t="str">
        <x:v>durant_warriors</x:v>
      </x:c>
      <x:c r="D37" s="31" t="str">
        <x:v>杜兰特的抉择</x:v>
      </x:c>
      <x:c r="E37" s="31" t="str">
        <x:v>死神降临湾区</x:v>
      </x:c>
      <x:c r="F37" s="31" t="str">
        <x:v>事件条件</x:v>
      </x:c>
      <x:c r="G37" s="39" t="str">
        <x:v>player_without_title</x:v>
      </x:c>
      <x:c r="H37" s="39" t="str">
        <x:v>凯文·杜兰特此前尚未夺冠</x:v>
      </x:c>
      <x:c r="I37" s="39" t="str">
        <x:v>是</x:v>
      </x:c>
      <x:c r="J37" s="39" t="n">
        <x:v>0</x:v>
      </x:c>
      <x:c r="K37" s="39" t="str"/>
      <x:c r="L37" s="39" t="str">
        <x:v>分别验证满足与不满足两种状态</x:v>
      </x:c>
      <x:c r="M37" s="39" t="str">
        <x:v>不满足时不可触发；满足后再检查计分条件</x:v>
      </x:c>
      <x:c r="N37" s="38" t="str"/>
      <x:c r="O37" s="38" t="str"/>
      <x:c r="P37" s="43" t="str">
        <x:f>IF(N37="","",IFERROR(O37/N37,""))</x:f>
      </x:c>
      <x:c r="Q37" s="38" t="str">
        <x:v>未评估</x:v>
      </x:c>
      <x:c r="R37" s="38" t="str"/>
      <x:c r="S37" s="38" t="str"/>
    </x:row>
    <x:row r="38" ht="42" customHeight="1">
      <x:c r="A38" s="31" t="str">
        <x:v>COND-037</x:v>
      </x:c>
      <x:c r="B38" s="31" t="n">
        <x:v>2016</x:v>
      </x:c>
      <x:c r="C38" s="31" t="str">
        <x:v>durant_warriors</x:v>
      </x:c>
      <x:c r="D38" s="31" t="str">
        <x:v>杜兰特的抉择</x:v>
      </x:c>
      <x:c r="E38" s="31" t="str">
        <x:v>死神降临湾区</x:v>
      </x:c>
      <x:c r="F38" s="31" t="str">
        <x:v>分支条件</x:v>
      </x:c>
      <x:c r="G38" s="39" t="str">
        <x:v>player_on_team</x:v>
      </x:c>
      <x:c r="H38" s="39" t="str">
        <x:v>斯蒂芬·库里效力于金州</x:v>
      </x:c>
      <x:c r="I38" s="39" t="str">
        <x:v>是</x:v>
      </x:c>
      <x:c r="J38" s="39" t="n">
        <x:v>0</x:v>
      </x:c>
      <x:c r="K38" s="39" t="str">
        <x:v>金州</x:v>
      </x:c>
      <x:c r="L38" s="39" t="str">
        <x:v>分别验证满足与不满足两种状态</x:v>
      </x:c>
      <x:c r="M38" s="39" t="str">
        <x:v>不满足时不可触发；满足后再检查计分条件</x:v>
      </x:c>
      <x:c r="N38" s="38" t="str"/>
      <x:c r="O38" s="38" t="str"/>
      <x:c r="P38" s="43" t="str">
        <x:f>IF(N38="","",IFERROR(O38/N38,""))</x:f>
      </x:c>
      <x:c r="Q38" s="38" t="str">
        <x:v>未评估</x:v>
      </x:c>
      <x:c r="R38" s="38" t="str"/>
      <x:c r="S38" s="38" t="str"/>
    </x:row>
    <x:row r="39" ht="42" customHeight="1">
      <x:c r="A39" s="31" t="str">
        <x:v>COND-038</x:v>
      </x:c>
      <x:c r="B39" s="31" t="n">
        <x:v>2016</x:v>
      </x:c>
      <x:c r="C39" s="31" t="str">
        <x:v>durant_warriors</x:v>
      </x:c>
      <x:c r="D39" s="31" t="str">
        <x:v>杜兰特的抉择</x:v>
      </x:c>
      <x:c r="E39" s="31" t="str">
        <x:v>死神降临湾区</x:v>
      </x:c>
      <x:c r="F39" s="31" t="str">
        <x:v>分支条件</x:v>
      </x:c>
      <x:c r="G39" s="39" t="str">
        <x:v>team_strategy_in</x:v>
      </x:c>
      <x:c r="H39" s="39" t="str">
        <x:v>金州球队方向为争冠或季后赛竞争（+1）</x:v>
      </x:c>
      <x:c r="I39" s="39" t="str">
        <x:v>否</x:v>
      </x:c>
      <x:c r="J39" s="39" t="n">
        <x:v>1</x:v>
      </x:c>
      <x:c r="K39" s="39" t="str">
        <x:v>contender/playoff；金州</x:v>
      </x:c>
      <x:c r="L39" s="39" t="str">
        <x:v>准备恰好达到与低于阈值的两组阵容/战绩</x:v>
      </x:c>
      <x:c r="M39" s="39" t="str">
        <x:v>满足后增加1分；仅差1分时可出现广告解锁</x:v>
      </x:c>
      <x:c r="N39" s="38" t="str"/>
      <x:c r="O39" s="38" t="str"/>
      <x:c r="P39" s="43" t="str">
        <x:f>IF(N39="","",IFERROR(O39/N39,""))</x:f>
      </x:c>
      <x:c r="Q39" s="38" t="str">
        <x:v>未评估</x:v>
      </x:c>
      <x:c r="R39" s="38" t="str"/>
      <x:c r="S39" s="38" t="str"/>
    </x:row>
    <x:row r="40" ht="42" customHeight="1">
      <x:c r="A40" s="31" t="str">
        <x:v>COND-039</x:v>
      </x:c>
      <x:c r="B40" s="31" t="n">
        <x:v>2016</x:v>
      </x:c>
      <x:c r="C40" s="31" t="str">
        <x:v>durant_warriors</x:v>
      </x:c>
      <x:c r="D40" s="31" t="str">
        <x:v>杜兰特的抉择</x:v>
      </x:c>
      <x:c r="E40" s="31" t="str">
        <x:v>死神降临湾区</x:v>
      </x:c>
      <x:c r="F40" s="31" t="str">
        <x:v>分支条件</x:v>
      </x:c>
      <x:c r="G40" s="39" t="str">
        <x:v>team_previous_wins_at_least</x:v>
      </x:c>
      <x:c r="H40" s="39" t="str">
        <x:v>金州上赛季至少55胜（+1）</x:v>
      </x:c>
      <x:c r="I40" s="39" t="str">
        <x:v>否</x:v>
      </x:c>
      <x:c r="J40" s="39" t="n">
        <x:v>1</x:v>
      </x:c>
      <x:c r="K40" s="39" t="str">
        <x:v>55；金州</x:v>
      </x:c>
      <x:c r="L40" s="39" t="str">
        <x:v>准备恰好达到与低于阈值的两组阵容/战绩</x:v>
      </x:c>
      <x:c r="M40" s="39" t="str">
        <x:v>满足后增加1分；仅差1分时可出现广告解锁</x:v>
      </x:c>
      <x:c r="N40" s="38" t="str"/>
      <x:c r="O40" s="38" t="str"/>
      <x:c r="P40" s="43" t="str">
        <x:f>IF(N40="","",IFERROR(O40/N40,""))</x:f>
      </x:c>
      <x:c r="Q40" s="38" t="str">
        <x:v>未评估</x:v>
      </x:c>
      <x:c r="R40" s="38" t="str"/>
      <x:c r="S40" s="38" t="str"/>
    </x:row>
    <x:row r="41" ht="42" customHeight="1">
      <x:c r="A41" s="31" t="str">
        <x:v>COND-040</x:v>
      </x:c>
      <x:c r="B41" s="31" t="n">
        <x:v>2016</x:v>
      </x:c>
      <x:c r="C41" s="31" t="str">
        <x:v>durant_warriors</x:v>
      </x:c>
      <x:c r="D41" s="31" t="str">
        <x:v>杜兰特的抉择</x:v>
      </x:c>
      <x:c r="E41" s="31" t="str">
        <x:v>绿军复兴计划</x:v>
      </x:c>
      <x:c r="F41" s="31" t="str">
        <x:v>事件条件</x:v>
      </x:c>
      <x:c r="G41" s="39" t="str">
        <x:v>player_without_title</x:v>
      </x:c>
      <x:c r="H41" s="39" t="str">
        <x:v>凯文·杜兰特此前尚未夺冠</x:v>
      </x:c>
      <x:c r="I41" s="39" t="str">
        <x:v>是</x:v>
      </x:c>
      <x:c r="J41" s="39" t="n">
        <x:v>0</x:v>
      </x:c>
      <x:c r="K41" s="39" t="str"/>
      <x:c r="L41" s="39" t="str">
        <x:v>分别验证满足与不满足两种状态</x:v>
      </x:c>
      <x:c r="M41" s="39" t="str">
        <x:v>不满足时不可触发；满足后再检查计分条件</x:v>
      </x:c>
      <x:c r="N41" s="38" t="str"/>
      <x:c r="O41" s="38" t="str"/>
      <x:c r="P41" s="43" t="str">
        <x:f>IF(N41="","",IFERROR(O41/N41,""))</x:f>
      </x:c>
      <x:c r="Q41" s="38" t="str">
        <x:v>未评估</x:v>
      </x:c>
      <x:c r="R41" s="38" t="str"/>
      <x:c r="S41" s="38" t="str"/>
    </x:row>
    <x:row r="42" ht="42" customHeight="1">
      <x:c r="A42" s="31" t="str">
        <x:v>COND-041</x:v>
      </x:c>
      <x:c r="B42" s="31" t="n">
        <x:v>2016</x:v>
      </x:c>
      <x:c r="C42" s="31" t="str">
        <x:v>durant_warriors</x:v>
      </x:c>
      <x:c r="D42" s="31" t="str">
        <x:v>杜兰特的抉择</x:v>
      </x:c>
      <x:c r="E42" s="31" t="str">
        <x:v>绿军复兴计划</x:v>
      </x:c>
      <x:c r="F42" s="31" t="str">
        <x:v>分支条件</x:v>
      </x:c>
      <x:c r="G42" s="39" t="str">
        <x:v>team_strategy_in</x:v>
      </x:c>
      <x:c r="H42" s="39" t="str">
        <x:v>波士顿球队方向为争冠或季后赛竞争（+2）</x:v>
      </x:c>
      <x:c r="I42" s="39" t="str">
        <x:v>否</x:v>
      </x:c>
      <x:c r="J42" s="39" t="n">
        <x:v>2</x:v>
      </x:c>
      <x:c r="K42" s="39" t="str">
        <x:v>contender/playoff；波士顿</x:v>
      </x:c>
      <x:c r="L42" s="39" t="str">
        <x:v>准备恰好达到与低于阈值的两组阵容/战绩</x:v>
      </x:c>
      <x:c r="M42" s="39" t="str">
        <x:v>满足后增加2分；仅差1分时可出现广告解锁</x:v>
      </x:c>
      <x:c r="N42" s="38" t="str"/>
      <x:c r="O42" s="38" t="str"/>
      <x:c r="P42" s="43" t="str">
        <x:f>IF(N42="","",IFERROR(O42/N42,""))</x:f>
      </x:c>
      <x:c r="Q42" s="38" t="str">
        <x:v>未评估</x:v>
      </x:c>
      <x:c r="R42" s="38" t="str"/>
      <x:c r="S42" s="38" t="str"/>
    </x:row>
    <x:row r="43" ht="42" customHeight="1">
      <x:c r="A43" s="31" t="str">
        <x:v>COND-042</x:v>
      </x:c>
      <x:c r="B43" s="31" t="n">
        <x:v>2016</x:v>
      </x:c>
      <x:c r="C43" s="31" t="str">
        <x:v>durant_warriors</x:v>
      </x:c>
      <x:c r="D43" s="31" t="str">
        <x:v>杜兰特的抉择</x:v>
      </x:c>
      <x:c r="E43" s="31" t="str">
        <x:v>绿军复兴计划</x:v>
      </x:c>
      <x:c r="F43" s="31" t="str">
        <x:v>分支条件</x:v>
      </x:c>
      <x:c r="G43" s="39" t="str">
        <x:v>team_max_elite_players</x:v>
      </x:c>
      <x:c r="H43" s="39" t="str">
        <x:v>波士顿88+综评球员不超过1人（+1）</x:v>
      </x:c>
      <x:c r="I43" s="39" t="str">
        <x:v>否</x:v>
      </x:c>
      <x:c r="J43" s="39" t="n">
        <x:v>1</x:v>
      </x:c>
      <x:c r="K43" s="39" t="str">
        <x:v>1；OVR≥88；波士顿</x:v>
      </x:c>
      <x:c r="L43" s="39" t="str">
        <x:v>准备恰好达到与低于阈值的两组阵容/战绩</x:v>
      </x:c>
      <x:c r="M43" s="39" t="str">
        <x:v>满足后增加1分；仅差1分时可出现广告解锁</x:v>
      </x:c>
      <x:c r="N43" s="38" t="str"/>
      <x:c r="O43" s="38" t="str"/>
      <x:c r="P43" s="43" t="str">
        <x:f>IF(N43="","",IFERROR(O43/N43,""))</x:f>
      </x:c>
      <x:c r="Q43" s="38" t="str">
        <x:v>未评估</x:v>
      </x:c>
      <x:c r="R43" s="38" t="str"/>
      <x:c r="S43" s="38" t="str"/>
    </x:row>
    <x:row r="44" ht="42" customHeight="1">
      <x:c r="A44" s="31" t="str">
        <x:v>COND-043</x:v>
      </x:c>
      <x:c r="B44" s="31" t="n">
        <x:v>2016</x:v>
      </x:c>
      <x:c r="C44" s="31" t="str">
        <x:v>durant_warriors</x:v>
      </x:c>
      <x:c r="D44" s="31" t="str">
        <x:v>杜兰特的抉择</x:v>
      </x:c>
      <x:c r="E44" s="31" t="str">
        <x:v>绿军复兴计划</x:v>
      </x:c>
      <x:c r="F44" s="31" t="str">
        <x:v>分支条件</x:v>
      </x:c>
      <x:c r="G44" s="39" t="str">
        <x:v>player_team_previous_wins_at_most</x:v>
      </x:c>
      <x:c r="H44" s="39" t="str">
        <x:v>凯文·杜兰特所在球队上赛季不超过55胜（+1）</x:v>
      </x:c>
      <x:c r="I44" s="39" t="str">
        <x:v>否</x:v>
      </x:c>
      <x:c r="J44" s="39" t="n">
        <x:v>1</x:v>
      </x:c>
      <x:c r="K44" s="39" t="str">
        <x:v>55</x:v>
      </x:c>
      <x:c r="L44" s="39" t="str">
        <x:v>准备恰好达到与低于阈值的两组阵容/战绩</x:v>
      </x:c>
      <x:c r="M44" s="39" t="str">
        <x:v>满足后增加1分；仅差1分时可出现广告解锁</x:v>
      </x:c>
      <x:c r="N44" s="38" t="str"/>
      <x:c r="O44" s="38" t="str"/>
      <x:c r="P44" s="43" t="str">
        <x:f>IF(N44="","",IFERROR(O44/N44,""))</x:f>
      </x:c>
      <x:c r="Q44" s="38" t="str">
        <x:v>未评估</x:v>
      </x:c>
      <x:c r="R44" s="38" t="str"/>
      <x:c r="S44" s="38" t="str"/>
    </x:row>
    <x:row r="45" ht="42" customHeight="1">
      <x:c r="A45" s="31" t="str">
        <x:v>COND-044</x:v>
      </x:c>
      <x:c r="B45" s="31" t="n">
        <x:v>2016</x:v>
      </x:c>
      <x:c r="C45" s="31" t="str">
        <x:v>durant_warriors</x:v>
      </x:c>
      <x:c r="D45" s="31" t="str">
        <x:v>杜兰特的抉择</x:v>
      </x:c>
      <x:c r="E45" s="31" t="str">
        <x:v>雷霆最后一舞</x:v>
      </x:c>
      <x:c r="F45" s="31" t="str">
        <x:v>事件条件</x:v>
      </x:c>
      <x:c r="G45" s="39" t="str">
        <x:v>player_without_title</x:v>
      </x:c>
      <x:c r="H45" s="39" t="str">
        <x:v>凯文·杜兰特此前尚未夺冠</x:v>
      </x:c>
      <x:c r="I45" s="39" t="str">
        <x:v>是</x:v>
      </x:c>
      <x:c r="J45" s="39" t="n">
        <x:v>0</x:v>
      </x:c>
      <x:c r="K45" s="39" t="str"/>
      <x:c r="L45" s="39" t="str">
        <x:v>分别验证满足与不满足两种状态</x:v>
      </x:c>
      <x:c r="M45" s="39" t="str">
        <x:v>不满足时不可触发；满足后再检查计分条件</x:v>
      </x:c>
      <x:c r="N45" s="38" t="str"/>
      <x:c r="O45" s="38" t="str"/>
      <x:c r="P45" s="43" t="str">
        <x:f>IF(N45="","",IFERROR(O45/N45,""))</x:f>
      </x:c>
      <x:c r="Q45" s="38" t="str">
        <x:v>未评估</x:v>
      </x:c>
      <x:c r="R45" s="38" t="str"/>
      <x:c r="S45" s="38" t="str"/>
    </x:row>
    <x:row r="46" ht="42" customHeight="1">
      <x:c r="A46" s="31" t="str">
        <x:v>COND-045</x:v>
      </x:c>
      <x:c r="B46" s="31" t="n">
        <x:v>2016</x:v>
      </x:c>
      <x:c r="C46" s="31" t="str">
        <x:v>durant_warriors</x:v>
      </x:c>
      <x:c r="D46" s="31" t="str">
        <x:v>杜兰特的抉择</x:v>
      </x:c>
      <x:c r="E46" s="31" t="str">
        <x:v>雷霆最后一舞</x:v>
      </x:c>
      <x:c r="F46" s="31" t="str">
        <x:v>分支条件</x:v>
      </x:c>
      <x:c r="G46" s="39" t="str">
        <x:v>team_previous_wins_at_least</x:v>
      </x:c>
      <x:c r="H46" s="39" t="str">
        <x:v>俄克拉荷马上赛季至少50胜（+1）</x:v>
      </x:c>
      <x:c r="I46" s="39" t="str">
        <x:v>否</x:v>
      </x:c>
      <x:c r="J46" s="39" t="n">
        <x:v>1</x:v>
      </x:c>
      <x:c r="K46" s="39" t="str">
        <x:v>50；俄克拉荷马</x:v>
      </x:c>
      <x:c r="L46" s="39" t="str">
        <x:v>准备恰好达到与低于阈值的两组阵容/战绩</x:v>
      </x:c>
      <x:c r="M46" s="39" t="str">
        <x:v>满足后增加1分；仅差1分时可出现广告解锁</x:v>
      </x:c>
      <x:c r="N46" s="38" t="str"/>
      <x:c r="O46" s="38" t="str"/>
      <x:c r="P46" s="43" t="str">
        <x:f>IF(N46="","",IFERROR(O46/N46,""))</x:f>
      </x:c>
      <x:c r="Q46" s="38" t="str">
        <x:v>未评估</x:v>
      </x:c>
      <x:c r="R46" s="38" t="str"/>
      <x:c r="S46" s="38" t="str"/>
    </x:row>
    <x:row r="47" ht="42" customHeight="1">
      <x:c r="A47" s="31" t="str">
        <x:v>COND-046</x:v>
      </x:c>
      <x:c r="B47" s="31" t="n">
        <x:v>2016</x:v>
      </x:c>
      <x:c r="C47" s="31" t="str">
        <x:v>durant_warriors</x:v>
      </x:c>
      <x:c r="D47" s="31" t="str">
        <x:v>杜兰特的抉择</x:v>
      </x:c>
      <x:c r="E47" s="31" t="str">
        <x:v>雷霆最后一舞</x:v>
      </x:c>
      <x:c r="F47" s="31" t="str">
        <x:v>分支条件</x:v>
      </x:c>
      <x:c r="G47" s="39" t="str">
        <x:v>team_strategy_in</x:v>
      </x:c>
      <x:c r="H47" s="39" t="str">
        <x:v>俄克拉荷马球队方向为争冠或季后赛竞争（+1）</x:v>
      </x:c>
      <x:c r="I47" s="39" t="str">
        <x:v>否</x:v>
      </x:c>
      <x:c r="J47" s="39" t="n">
        <x:v>1</x:v>
      </x:c>
      <x:c r="K47" s="39" t="str">
        <x:v>contender/playoff；俄克拉荷马</x:v>
      </x:c>
      <x:c r="L47" s="39" t="str">
        <x:v>准备恰好达到与低于阈值的两组阵容/战绩</x:v>
      </x:c>
      <x:c r="M47" s="39" t="str">
        <x:v>满足后增加1分；仅差1分时可出现广告解锁</x:v>
      </x:c>
      <x:c r="N47" s="38" t="str"/>
      <x:c r="O47" s="38" t="str"/>
      <x:c r="P47" s="43" t="str">
        <x:f>IF(N47="","",IFERROR(O47/N47,""))</x:f>
      </x:c>
      <x:c r="Q47" s="38" t="str">
        <x:v>未评估</x:v>
      </x:c>
      <x:c r="R47" s="38" t="str"/>
      <x:c r="S47" s="38" t="str"/>
    </x:row>
    <x:row r="48" ht="42" customHeight="1">
      <x:c r="A48" s="31" t="str">
        <x:v>COND-047</x:v>
      </x:c>
      <x:c r="B48" s="31" t="n">
        <x:v>2017</x:v>
      </x:c>
      <x:c r="C48" s="31" t="str">
        <x:v>cp3_houston</x:v>
      </x:c>
      <x:c r="D48" s="31" t="str">
        <x:v>灯泡组合成军</x:v>
      </x:c>
      <x:c r="E48" s="31" t="str">
        <x:v>无分支</x:v>
      </x:c>
      <x:c r="F48" s="31" t="str">
        <x:v>事件条件</x:v>
      </x:c>
      <x:c r="G48" s="39" t="str">
        <x:v>event_completed_player_on_team</x:v>
      </x:c>
      <x:c r="H48" s="39" t="str">
        <x:v>已完成“大胡子独当一面”，且詹姆斯·哈登仍效力于休斯敦</x:v>
      </x:c>
      <x:c r="I48" s="39" t="str">
        <x:v>是</x:v>
      </x:c>
      <x:c r="J48" s="39" t="n">
        <x:v>0</x:v>
      </x:c>
      <x:c r="K48" s="39" t="str">
        <x:v>休斯敦；事件:harden_houston</x:v>
      </x:c>
      <x:c r="L48" s="39" t="str">
        <x:v>分别验证满足与不满足两种状态</x:v>
      </x:c>
      <x:c r="M48" s="39" t="str">
        <x:v>不满足时不可触发；满足后再检查计分条件</x:v>
      </x:c>
      <x:c r="N48" s="38" t="str"/>
      <x:c r="O48" s="38" t="str"/>
      <x:c r="P48" s="43" t="str">
        <x:f>IF(N48="","",IFERROR(O48/N48,""))</x:f>
      </x:c>
      <x:c r="Q48" s="38" t="str">
        <x:v>未评估</x:v>
      </x:c>
      <x:c r="R48" s="38" t="str"/>
      <x:c r="S48" s="38" t="str"/>
    </x:row>
    <x:row r="49" ht="42" customHeight="1">
      <x:c r="A49" s="31" t="str">
        <x:v>COND-048</x:v>
      </x:c>
      <x:c r="B49" s="31" t="n">
        <x:v>2017</x:v>
      </x:c>
      <x:c r="C49" s="31" t="str">
        <x:v>cp3_houston</x:v>
      </x:c>
      <x:c r="D49" s="31" t="str">
        <x:v>灯泡组合成军</x:v>
      </x:c>
      <x:c r="E49" s="31" t="str">
        <x:v>无分支</x:v>
      </x:c>
      <x:c r="F49" s="31" t="str">
        <x:v>事件条件</x:v>
      </x:c>
      <x:c r="G49" s="39" t="str">
        <x:v>team_strategy_in</x:v>
      </x:c>
      <x:c r="H49" s="39" t="str">
        <x:v>休斯敦球队方向为争冠或季后赛竞争（+1）</x:v>
      </x:c>
      <x:c r="I49" s="39" t="str">
        <x:v>否</x:v>
      </x:c>
      <x:c r="J49" s="39" t="n">
        <x:v>1</x:v>
      </x:c>
      <x:c r="K49" s="39" t="str">
        <x:v>contender/playoff；休斯敦</x:v>
      </x:c>
      <x:c r="L49" s="39" t="str">
        <x:v>准备恰好达到与低于阈值的两组阵容/战绩</x:v>
      </x:c>
      <x:c r="M49" s="39" t="str">
        <x:v>满足后增加1分；仅差1分时可出现广告解锁</x:v>
      </x:c>
      <x:c r="N49" s="38" t="str"/>
      <x:c r="O49" s="38" t="str"/>
      <x:c r="P49" s="43" t="str">
        <x:f>IF(N49="","",IFERROR(O49/N49,""))</x:f>
      </x:c>
      <x:c r="Q49" s="38" t="str">
        <x:v>未评估</x:v>
      </x:c>
      <x:c r="R49" s="38" t="str"/>
      <x:c r="S49" s="38" t="str"/>
    </x:row>
    <x:row r="50" ht="42" customHeight="1">
      <x:c r="A50" s="31" t="str">
        <x:v>COND-049</x:v>
      </x:c>
      <x:c r="B50" s="31" t="n">
        <x:v>2017</x:v>
      </x:c>
      <x:c r="C50" s="31" t="str">
        <x:v>cp3_houston</x:v>
      </x:c>
      <x:c r="D50" s="31" t="str">
        <x:v>灯泡组合成军</x:v>
      </x:c>
      <x:c r="E50" s="31" t="str">
        <x:v>无分支</x:v>
      </x:c>
      <x:c r="F50" s="31" t="str">
        <x:v>事件条件</x:v>
      </x:c>
      <x:c r="G50" s="39" t="str">
        <x:v>team_previous_wins_at_least</x:v>
      </x:c>
      <x:c r="H50" s="39" t="str">
        <x:v>休斯敦上赛季至少45胜（+1）</x:v>
      </x:c>
      <x:c r="I50" s="39" t="str">
        <x:v>否</x:v>
      </x:c>
      <x:c r="J50" s="39" t="n">
        <x:v>1</x:v>
      </x:c>
      <x:c r="K50" s="39" t="str">
        <x:v>45；休斯敦</x:v>
      </x:c>
      <x:c r="L50" s="39" t="str">
        <x:v>准备恰好达到与低于阈值的两组阵容/战绩</x:v>
      </x:c>
      <x:c r="M50" s="39" t="str">
        <x:v>满足后增加1分；仅差1分时可出现广告解锁</x:v>
      </x:c>
      <x:c r="N50" s="38" t="str"/>
      <x:c r="O50" s="38" t="str"/>
      <x:c r="P50" s="43" t="str">
        <x:f>IF(N50="","",IFERROR(O50/N50,""))</x:f>
      </x:c>
      <x:c r="Q50" s="38" t="str">
        <x:v>未评估</x:v>
      </x:c>
      <x:c r="R50" s="38" t="str"/>
      <x:c r="S50" s="38" t="str"/>
    </x:row>
    <x:row r="51" ht="42" customHeight="1">
      <x:c r="A51" s="31" t="str">
        <x:v>COND-050</x:v>
      </x:c>
      <x:c r="B51" s="31" t="n">
        <x:v>2017</x:v>
      </x:c>
      <x:c r="C51" s="31" t="str">
        <x:v>cp3_houston</x:v>
      </x:c>
      <x:c r="D51" s="31" t="str">
        <x:v>灯泡组合成军</x:v>
      </x:c>
      <x:c r="E51" s="31" t="str">
        <x:v>无分支</x:v>
      </x:c>
      <x:c r="F51" s="31" t="str">
        <x:v>事件条件</x:v>
      </x:c>
      <x:c r="G51" s="39" t="str">
        <x:v>team_max_elite_players</x:v>
      </x:c>
      <x:c r="H51" s="39" t="str">
        <x:v>休斯敦88+综评球员不超过2人（+1）</x:v>
      </x:c>
      <x:c r="I51" s="39" t="str">
        <x:v>否</x:v>
      </x:c>
      <x:c r="J51" s="39" t="n">
        <x:v>1</x:v>
      </x:c>
      <x:c r="K51" s="39" t="str">
        <x:v>2；OVR≥88；休斯敦</x:v>
      </x:c>
      <x:c r="L51" s="39" t="str">
        <x:v>准备恰好达到与低于阈值的两组阵容/战绩</x:v>
      </x:c>
      <x:c r="M51" s="39" t="str">
        <x:v>满足后增加1分；仅差1分时可出现广告解锁</x:v>
      </x:c>
      <x:c r="N51" s="38" t="str"/>
      <x:c r="O51" s="38" t="str"/>
      <x:c r="P51" s="43" t="str">
        <x:f>IF(N51="","",IFERROR(O51/N51,""))</x:f>
      </x:c>
      <x:c r="Q51" s="38" t="str">
        <x:v>未评估</x:v>
      </x:c>
      <x:c r="R51" s="38" t="str"/>
      <x:c r="S51" s="38" t="str"/>
    </x:row>
    <x:row r="52" ht="42" customHeight="1">
      <x:c r="A52" s="31" t="str">
        <x:v>COND-051</x:v>
      </x:c>
      <x:c r="B52" s="31" t="n">
        <x:v>2017</x:v>
      </x:c>
      <x:c r="C52" s="31" t="str">
        <x:v>kyrie_boston</x:v>
      </x:c>
      <x:c r="D52" s="31" t="str">
        <x:v>欧文接管绿军</x:v>
      </x:c>
      <x:c r="E52" s="31" t="str">
        <x:v>无分支</x:v>
      </x:c>
      <x:c r="F52" s="31" t="str">
        <x:v>事件条件</x:v>
      </x:c>
      <x:c r="G52" s="39" t="str">
        <x:v>team_strategy_in</x:v>
      </x:c>
      <x:c r="H52" s="39" t="str">
        <x:v>波士顿球队方向为争冠或季后赛竞争（+1）</x:v>
      </x:c>
      <x:c r="I52" s="39" t="str">
        <x:v>否</x:v>
      </x:c>
      <x:c r="J52" s="39" t="n">
        <x:v>1</x:v>
      </x:c>
      <x:c r="K52" s="39" t="str">
        <x:v>contender/playoff；波士顿</x:v>
      </x:c>
      <x:c r="L52" s="39" t="str">
        <x:v>准备恰好达到与低于阈值的两组阵容/战绩</x:v>
      </x:c>
      <x:c r="M52" s="39" t="str">
        <x:v>满足后增加1分；仅差1分时可出现广告解锁</x:v>
      </x:c>
      <x:c r="N52" s="38" t="str"/>
      <x:c r="O52" s="38" t="str"/>
      <x:c r="P52" s="43" t="str">
        <x:f>IF(N52="","",IFERROR(O52/N52,""))</x:f>
      </x:c>
      <x:c r="Q52" s="38" t="str">
        <x:v>未评估</x:v>
      </x:c>
      <x:c r="R52" s="38" t="str"/>
      <x:c r="S52" s="38" t="str"/>
    </x:row>
    <x:row r="53" ht="42" customHeight="1">
      <x:c r="A53" s="31" t="str">
        <x:v>COND-052</x:v>
      </x:c>
      <x:c r="B53" s="31" t="n">
        <x:v>2017</x:v>
      </x:c>
      <x:c r="C53" s="31" t="str">
        <x:v>kyrie_boston</x:v>
      </x:c>
      <x:c r="D53" s="31" t="str">
        <x:v>欧文接管绿军</x:v>
      </x:c>
      <x:c r="E53" s="31" t="str">
        <x:v>无分支</x:v>
      </x:c>
      <x:c r="F53" s="31" t="str">
        <x:v>事件条件</x:v>
      </x:c>
      <x:c r="G53" s="39" t="str">
        <x:v>team_max_elite_players</x:v>
      </x:c>
      <x:c r="H53" s="39" t="str">
        <x:v>波士顿88+综评球员不超过2人（+1）</x:v>
      </x:c>
      <x:c r="I53" s="39" t="str">
        <x:v>否</x:v>
      </x:c>
      <x:c r="J53" s="39" t="n">
        <x:v>1</x:v>
      </x:c>
      <x:c r="K53" s="39" t="str">
        <x:v>2；OVR≥88；波士顿</x:v>
      </x:c>
      <x:c r="L53" s="39" t="str">
        <x:v>准备恰好达到与低于阈值的两组阵容/战绩</x:v>
      </x:c>
      <x:c r="M53" s="39" t="str">
        <x:v>满足后增加1分；仅差1分时可出现广告解锁</x:v>
      </x:c>
      <x:c r="N53" s="38" t="str"/>
      <x:c r="O53" s="38" t="str"/>
      <x:c r="P53" s="43" t="str">
        <x:f>IF(N53="","",IFERROR(O53/N53,""))</x:f>
      </x:c>
      <x:c r="Q53" s="38" t="str">
        <x:v>未评估</x:v>
      </x:c>
      <x:c r="R53" s="38" t="str"/>
      <x:c r="S53" s="38" t="str"/>
    </x:row>
    <x:row r="54" ht="42" customHeight="1">
      <x:c r="A54" s="31" t="str">
        <x:v>COND-053</x:v>
      </x:c>
      <x:c r="B54" s="31" t="n">
        <x:v>2017</x:v>
      </x:c>
      <x:c r="C54" s="31" t="str">
        <x:v>kyrie_boston</x:v>
      </x:c>
      <x:c r="D54" s="31" t="str">
        <x:v>欧文接管绿军</x:v>
      </x:c>
      <x:c r="E54" s="31" t="str">
        <x:v>无分支</x:v>
      </x:c>
      <x:c r="F54" s="31" t="str">
        <x:v>事件条件</x:v>
      </x:c>
      <x:c r="G54" s="39" t="str">
        <x:v>team_previous_wins_at_least</x:v>
      </x:c>
      <x:c r="H54" s="39" t="str">
        <x:v>波士顿上赛季至少45胜（+1）</x:v>
      </x:c>
      <x:c r="I54" s="39" t="str">
        <x:v>否</x:v>
      </x:c>
      <x:c r="J54" s="39" t="n">
        <x:v>1</x:v>
      </x:c>
      <x:c r="K54" s="39" t="str">
        <x:v>45；波士顿</x:v>
      </x:c>
      <x:c r="L54" s="39" t="str">
        <x:v>准备恰好达到与低于阈值的两组阵容/战绩</x:v>
      </x:c>
      <x:c r="M54" s="39" t="str">
        <x:v>满足后增加1分；仅差1分时可出现广告解锁</x:v>
      </x:c>
      <x:c r="N54" s="38" t="str"/>
      <x:c r="O54" s="38" t="str"/>
      <x:c r="P54" s="43" t="str">
        <x:f>IF(N54="","",IFERROR(O54/N54,""))</x:f>
      </x:c>
      <x:c r="Q54" s="38" t="str">
        <x:v>未评估</x:v>
      </x:c>
      <x:c r="R54" s="38" t="str"/>
      <x:c r="S54" s="38" t="str"/>
    </x:row>
    <x:row r="55" ht="42" customHeight="1">
      <x:c r="A55" s="31" t="str">
        <x:v>COND-054</x:v>
      </x:c>
      <x:c r="B55" s="31" t="n">
        <x:v>2018</x:v>
      </x:c>
      <x:c r="C55" s="31" t="str">
        <x:v>lebron_lakers</x:v>
      </x:c>
      <x:c r="D55" s="31" t="str">
        <x:v>詹姆斯的下一站</x:v>
      </x:c>
      <x:c r="E55" s="31" t="str">
        <x:v>天选之子西游</x:v>
      </x:c>
      <x:c r="F55" s="31" t="str">
        <x:v>事件条件</x:v>
      </x:c>
      <x:c r="G55" s="39" t="str">
        <x:v>player_without_title_in_previous_seasons</x:v>
      </x:c>
      <x:c r="H55" s="39" t="str">
        <x:v>勒布朗·詹姆斯此前2个赛季均未夺冠</x:v>
      </x:c>
      <x:c r="I55" s="39" t="str">
        <x:v>是</x:v>
      </x:c>
      <x:c r="J55" s="39" t="n">
        <x:v>0</x:v>
      </x:c>
      <x:c r="K55" s="39" t="str">
        <x:v>2</x:v>
      </x:c>
      <x:c r="L55" s="39" t="str">
        <x:v>分别验证满足与不满足两种状态</x:v>
      </x:c>
      <x:c r="M55" s="39" t="str">
        <x:v>不满足时不可触发；满足后再检查计分条件</x:v>
      </x:c>
      <x:c r="N55" s="38" t="str"/>
      <x:c r="O55" s="38" t="str"/>
      <x:c r="P55" s="43" t="str">
        <x:f>IF(N55="","",IFERROR(O55/N55,""))</x:f>
      </x:c>
      <x:c r="Q55" s="38" t="str">
        <x:v>未评估</x:v>
      </x:c>
      <x:c r="R55" s="38" t="str"/>
      <x:c r="S55" s="38" t="str"/>
    </x:row>
    <x:row r="56" ht="42" customHeight="1">
      <x:c r="A56" s="31" t="str">
        <x:v>COND-055</x:v>
      </x:c>
      <x:c r="B56" s="31" t="n">
        <x:v>2018</x:v>
      </x:c>
      <x:c r="C56" s="31" t="str">
        <x:v>lebron_lakers</x:v>
      </x:c>
      <x:c r="D56" s="31" t="str">
        <x:v>詹姆斯的下一站</x:v>
      </x:c>
      <x:c r="E56" s="31" t="str">
        <x:v>天选之子西游</x:v>
      </x:c>
      <x:c r="F56" s="31" t="str">
        <x:v>分支条件</x:v>
      </x:c>
      <x:c r="G56" s="39" t="str">
        <x:v>team_max_elite_players</x:v>
      </x:c>
      <x:c r="H56" s="39" t="str">
        <x:v>洛杉矶湖人90+综评球员不超过1人（+1）</x:v>
      </x:c>
      <x:c r="I56" s="39" t="str">
        <x:v>否</x:v>
      </x:c>
      <x:c r="J56" s="39" t="n">
        <x:v>1</x:v>
      </x:c>
      <x:c r="K56" s="39" t="str">
        <x:v>1；OVR≥90；洛杉矶湖人</x:v>
      </x:c>
      <x:c r="L56" s="39" t="str">
        <x:v>准备恰好达到与低于阈值的两组阵容/战绩</x:v>
      </x:c>
      <x:c r="M56" s="39" t="str">
        <x:v>满足后增加1分；仅差1分时可出现广告解锁</x:v>
      </x:c>
      <x:c r="N56" s="38" t="str"/>
      <x:c r="O56" s="38" t="str"/>
      <x:c r="P56" s="43" t="str">
        <x:f>IF(N56="","",IFERROR(O56/N56,""))</x:f>
      </x:c>
      <x:c r="Q56" s="38" t="str">
        <x:v>未评估</x:v>
      </x:c>
      <x:c r="R56" s="38" t="str"/>
      <x:c r="S56" s="38" t="str"/>
    </x:row>
    <x:row r="57" ht="42" customHeight="1">
      <x:c r="A57" s="31" t="str">
        <x:v>COND-056</x:v>
      </x:c>
      <x:c r="B57" s="31" t="n">
        <x:v>2018</x:v>
      </x:c>
      <x:c r="C57" s="31" t="str">
        <x:v>lebron_lakers</x:v>
      </x:c>
      <x:c r="D57" s="31" t="str">
        <x:v>詹姆斯的下一站</x:v>
      </x:c>
      <x:c r="E57" s="31" t="str">
        <x:v>天选之子西游</x:v>
      </x:c>
      <x:c r="F57" s="31" t="str">
        <x:v>分支条件</x:v>
      </x:c>
      <x:c r="G57" s="39" t="str">
        <x:v>player_team_previous_wins_at_most</x:v>
      </x:c>
      <x:c r="H57" s="39" t="str">
        <x:v>勒布朗·詹姆斯所在球队上赛季不超过55胜（+1）</x:v>
      </x:c>
      <x:c r="I57" s="39" t="str">
        <x:v>否</x:v>
      </x:c>
      <x:c r="J57" s="39" t="n">
        <x:v>1</x:v>
      </x:c>
      <x:c r="K57" s="39" t="str">
        <x:v>55</x:v>
      </x:c>
      <x:c r="L57" s="39" t="str">
        <x:v>准备恰好达到与低于阈值的两组阵容/战绩</x:v>
      </x:c>
      <x:c r="M57" s="39" t="str">
        <x:v>满足后增加1分；仅差1分时可出现广告解锁</x:v>
      </x:c>
      <x:c r="N57" s="38" t="str"/>
      <x:c r="O57" s="38" t="str"/>
      <x:c r="P57" s="43" t="str">
        <x:f>IF(N57="","",IFERROR(O57/N57,""))</x:f>
      </x:c>
      <x:c r="Q57" s="38" t="str">
        <x:v>未评估</x:v>
      </x:c>
      <x:c r="R57" s="38" t="str"/>
      <x:c r="S57" s="38" t="str"/>
    </x:row>
    <x:row r="58" ht="42" customHeight="1">
      <x:c r="A58" s="31" t="str">
        <x:v>COND-057</x:v>
      </x:c>
      <x:c r="B58" s="31" t="n">
        <x:v>2018</x:v>
      </x:c>
      <x:c r="C58" s="31" t="str">
        <x:v>lebron_lakers</x:v>
      </x:c>
      <x:c r="D58" s="31" t="str">
        <x:v>詹姆斯的下一站</x:v>
      </x:c>
      <x:c r="E58" s="31" t="str">
        <x:v>加入费城过程</x:v>
      </x:c>
      <x:c r="F58" s="31" t="str">
        <x:v>事件条件</x:v>
      </x:c>
      <x:c r="G58" s="39" t="str">
        <x:v>player_without_title_in_previous_seasons</x:v>
      </x:c>
      <x:c r="H58" s="39" t="str">
        <x:v>勒布朗·詹姆斯此前2个赛季均未夺冠</x:v>
      </x:c>
      <x:c r="I58" s="39" t="str">
        <x:v>是</x:v>
      </x:c>
      <x:c r="J58" s="39" t="n">
        <x:v>0</x:v>
      </x:c>
      <x:c r="K58" s="39" t="str">
        <x:v>2</x:v>
      </x:c>
      <x:c r="L58" s="39" t="str">
        <x:v>分别验证满足与不满足两种状态</x:v>
      </x:c>
      <x:c r="M58" s="39" t="str">
        <x:v>不满足时不可触发；满足后再检查计分条件</x:v>
      </x:c>
      <x:c r="N58" s="38" t="str"/>
      <x:c r="O58" s="38" t="str"/>
      <x:c r="P58" s="43" t="str">
        <x:f>IF(N58="","",IFERROR(O58/N58,""))</x:f>
      </x:c>
      <x:c r="Q58" s="38" t="str">
        <x:v>未评估</x:v>
      </x:c>
      <x:c r="R58" s="38" t="str"/>
      <x:c r="S58" s="38" t="str"/>
    </x:row>
    <x:row r="59" ht="42" customHeight="1">
      <x:c r="A59" s="31" t="str">
        <x:v>COND-058</x:v>
      </x:c>
      <x:c r="B59" s="31" t="n">
        <x:v>2018</x:v>
      </x:c>
      <x:c r="C59" s="31" t="str">
        <x:v>lebron_lakers</x:v>
      </x:c>
      <x:c r="D59" s="31" t="str">
        <x:v>詹姆斯的下一站</x:v>
      </x:c>
      <x:c r="E59" s="31" t="str">
        <x:v>加入费城过程</x:v>
      </x:c>
      <x:c r="F59" s="31" t="str">
        <x:v>分支条件</x:v>
      </x:c>
      <x:c r="G59" s="39" t="str">
        <x:v>player_on_team</x:v>
      </x:c>
      <x:c r="H59" s="39" t="str">
        <x:v>乔尔·恩比德效力于费城</x:v>
      </x:c>
      <x:c r="I59" s="39" t="str">
        <x:v>是</x:v>
      </x:c>
      <x:c r="J59" s="39" t="n">
        <x:v>0</x:v>
      </x:c>
      <x:c r="K59" s="39" t="str">
        <x:v>费城</x:v>
      </x:c>
      <x:c r="L59" s="39" t="str">
        <x:v>分别验证满足与不满足两种状态</x:v>
      </x:c>
      <x:c r="M59" s="39" t="str">
        <x:v>不满足时不可触发；满足后再检查计分条件</x:v>
      </x:c>
      <x:c r="N59" s="38" t="str"/>
      <x:c r="O59" s="38" t="str"/>
      <x:c r="P59" s="43" t="str">
        <x:f>IF(N59="","",IFERROR(O59/N59,""))</x:f>
      </x:c>
      <x:c r="Q59" s="38" t="str">
        <x:v>未评估</x:v>
      </x:c>
      <x:c r="R59" s="38" t="str"/>
      <x:c r="S59" s="38" t="str"/>
    </x:row>
    <x:row r="60" ht="42" customHeight="1">
      <x:c r="A60" s="31" t="str">
        <x:v>COND-059</x:v>
      </x:c>
      <x:c r="B60" s="31" t="n">
        <x:v>2018</x:v>
      </x:c>
      <x:c r="C60" s="31" t="str">
        <x:v>lebron_lakers</x:v>
      </x:c>
      <x:c r="D60" s="31" t="str">
        <x:v>詹姆斯的下一站</x:v>
      </x:c>
      <x:c r="E60" s="31" t="str">
        <x:v>加入费城过程</x:v>
      </x:c>
      <x:c r="F60" s="31" t="str">
        <x:v>分支条件</x:v>
      </x:c>
      <x:c r="G60" s="39" t="str">
        <x:v>team_previous_wins_at_least</x:v>
      </x:c>
      <x:c r="H60" s="39" t="str">
        <x:v>费城上赛季至少45胜（+1）</x:v>
      </x:c>
      <x:c r="I60" s="39" t="str">
        <x:v>否</x:v>
      </x:c>
      <x:c r="J60" s="39" t="n">
        <x:v>1</x:v>
      </x:c>
      <x:c r="K60" s="39" t="str">
        <x:v>45；费城</x:v>
      </x:c>
      <x:c r="L60" s="39" t="str">
        <x:v>准备恰好达到与低于阈值的两组阵容/战绩</x:v>
      </x:c>
      <x:c r="M60" s="39" t="str">
        <x:v>满足后增加1分；仅差1分时可出现广告解锁</x:v>
      </x:c>
      <x:c r="N60" s="38" t="str"/>
      <x:c r="O60" s="38" t="str"/>
      <x:c r="P60" s="43" t="str">
        <x:f>IF(N60="","",IFERROR(O60/N60,""))</x:f>
      </x:c>
      <x:c r="Q60" s="38" t="str">
        <x:v>未评估</x:v>
      </x:c>
      <x:c r="R60" s="38" t="str"/>
      <x:c r="S60" s="38" t="str"/>
    </x:row>
    <x:row r="61" ht="42" customHeight="1">
      <x:c r="A61" s="31" t="str">
        <x:v>COND-060</x:v>
      </x:c>
      <x:c r="B61" s="31" t="n">
        <x:v>2018</x:v>
      </x:c>
      <x:c r="C61" s="31" t="str">
        <x:v>lebron_lakers</x:v>
      </x:c>
      <x:c r="D61" s="31" t="str">
        <x:v>詹姆斯的下一站</x:v>
      </x:c>
      <x:c r="E61" s="31" t="str">
        <x:v>继续坚守</x:v>
      </x:c>
      <x:c r="F61" s="31" t="str">
        <x:v>事件条件</x:v>
      </x:c>
      <x:c r="G61" s="39" t="str">
        <x:v>player_without_title_in_previous_seasons</x:v>
      </x:c>
      <x:c r="H61" s="39" t="str">
        <x:v>勒布朗·詹姆斯此前2个赛季均未夺冠</x:v>
      </x:c>
      <x:c r="I61" s="39" t="str">
        <x:v>是</x:v>
      </x:c>
      <x:c r="J61" s="39" t="n">
        <x:v>0</x:v>
      </x:c>
      <x:c r="K61" s="39" t="str">
        <x:v>2</x:v>
      </x:c>
      <x:c r="L61" s="39" t="str">
        <x:v>分别验证满足与不满足两种状态</x:v>
      </x:c>
      <x:c r="M61" s="39" t="str">
        <x:v>不满足时不可触发；满足后再检查计分条件</x:v>
      </x:c>
      <x:c r="N61" s="38" t="str"/>
      <x:c r="O61" s="38" t="str"/>
      <x:c r="P61" s="43" t="str">
        <x:f>IF(N61="","",IFERROR(O61/N61,""))</x:f>
      </x:c>
      <x:c r="Q61" s="38" t="str">
        <x:v>未评估</x:v>
      </x:c>
      <x:c r="R61" s="38" t="str"/>
      <x:c r="S61" s="38" t="str"/>
    </x:row>
    <x:row r="62" ht="42" customHeight="1">
      <x:c r="A62" s="31" t="str">
        <x:v>COND-061</x:v>
      </x:c>
      <x:c r="B62" s="31" t="n">
        <x:v>2018</x:v>
      </x:c>
      <x:c r="C62" s="31" t="str">
        <x:v>kawhi_toronto</x:v>
      </x:c>
      <x:c r="D62" s="31" t="str">
        <x:v>北境豪赌</x:v>
      </x:c>
      <x:c r="E62" s="31" t="str">
        <x:v>无分支</x:v>
      </x:c>
      <x:c r="F62" s="31" t="str">
        <x:v>事件条件</x:v>
      </x:c>
      <x:c r="G62" s="39" t="str">
        <x:v>team_strategy_in</x:v>
      </x:c>
      <x:c r="H62" s="39" t="str">
        <x:v>多伦多球队方向为争冠或季后赛竞争（+1）</x:v>
      </x:c>
      <x:c r="I62" s="39" t="str">
        <x:v>否</x:v>
      </x:c>
      <x:c r="J62" s="39" t="n">
        <x:v>1</x:v>
      </x:c>
      <x:c r="K62" s="39" t="str">
        <x:v>contender/playoff；多伦多</x:v>
      </x:c>
      <x:c r="L62" s="39" t="str">
        <x:v>准备恰好达到与低于阈值的两组阵容/战绩</x:v>
      </x:c>
      <x:c r="M62" s="39" t="str">
        <x:v>满足后增加1分；仅差1分时可出现广告解锁</x:v>
      </x:c>
      <x:c r="N62" s="38" t="str"/>
      <x:c r="O62" s="38" t="str"/>
      <x:c r="P62" s="43" t="str">
        <x:f>IF(N62="","",IFERROR(O62/N62,""))</x:f>
      </x:c>
      <x:c r="Q62" s="38" t="str">
        <x:v>未评估</x:v>
      </x:c>
      <x:c r="R62" s="38" t="str"/>
      <x:c r="S62" s="38" t="str"/>
    </x:row>
    <x:row r="63" ht="42" customHeight="1">
      <x:c r="A63" s="31" t="str">
        <x:v>COND-062</x:v>
      </x:c>
      <x:c r="B63" s="31" t="n">
        <x:v>2018</x:v>
      </x:c>
      <x:c r="C63" s="31" t="str">
        <x:v>kawhi_toronto</x:v>
      </x:c>
      <x:c r="D63" s="31" t="str">
        <x:v>北境豪赌</x:v>
      </x:c>
      <x:c r="E63" s="31" t="str">
        <x:v>无分支</x:v>
      </x:c>
      <x:c r="F63" s="31" t="str">
        <x:v>事件条件</x:v>
      </x:c>
      <x:c r="G63" s="39" t="str">
        <x:v>team_previous_wins_at_least</x:v>
      </x:c>
      <x:c r="H63" s="39" t="str">
        <x:v>多伦多上赛季至少45胜（+1）</x:v>
      </x:c>
      <x:c r="I63" s="39" t="str">
        <x:v>否</x:v>
      </x:c>
      <x:c r="J63" s="39" t="n">
        <x:v>1</x:v>
      </x:c>
      <x:c r="K63" s="39" t="str">
        <x:v>45；多伦多</x:v>
      </x:c>
      <x:c r="L63" s="39" t="str">
        <x:v>准备恰好达到与低于阈值的两组阵容/战绩</x:v>
      </x:c>
      <x:c r="M63" s="39" t="str">
        <x:v>满足后增加1分；仅差1分时可出现广告解锁</x:v>
      </x:c>
      <x:c r="N63" s="38" t="str"/>
      <x:c r="O63" s="38" t="str"/>
      <x:c r="P63" s="43" t="str">
        <x:f>IF(N63="","",IFERROR(O63/N63,""))</x:f>
      </x:c>
      <x:c r="Q63" s="38" t="str">
        <x:v>未评估</x:v>
      </x:c>
      <x:c r="R63" s="38" t="str"/>
      <x:c r="S63" s="38" t="str"/>
    </x:row>
    <x:row r="64" ht="42" customHeight="1">
      <x:c r="A64" s="31" t="str">
        <x:v>COND-063</x:v>
      </x:c>
      <x:c r="B64" s="31" t="n">
        <x:v>2018</x:v>
      </x:c>
      <x:c r="C64" s="31" t="str">
        <x:v>kawhi_toronto</x:v>
      </x:c>
      <x:c r="D64" s="31" t="str">
        <x:v>北境豪赌</x:v>
      </x:c>
      <x:c r="E64" s="31" t="str">
        <x:v>无分支</x:v>
      </x:c>
      <x:c r="F64" s="31" t="str">
        <x:v>事件条件</x:v>
      </x:c>
      <x:c r="G64" s="39" t="str">
        <x:v>team_max_elite_players</x:v>
      </x:c>
      <x:c r="H64" s="39" t="str">
        <x:v>多伦多88+综评球员不超过2人（+1）</x:v>
      </x:c>
      <x:c r="I64" s="39" t="str">
        <x:v>否</x:v>
      </x:c>
      <x:c r="J64" s="39" t="n">
        <x:v>1</x:v>
      </x:c>
      <x:c r="K64" s="39" t="str">
        <x:v>2；OVR≥88；多伦多</x:v>
      </x:c>
      <x:c r="L64" s="39" t="str">
        <x:v>准备恰好达到与低于阈值的两组阵容/战绩</x:v>
      </x:c>
      <x:c r="M64" s="39" t="str">
        <x:v>满足后增加1分；仅差1分时可出现广告解锁</x:v>
      </x:c>
      <x:c r="N64" s="38" t="str"/>
      <x:c r="O64" s="38" t="str"/>
      <x:c r="P64" s="43" t="str">
        <x:f>IF(N64="","",IFERROR(O64/N64,""))</x:f>
      </x:c>
      <x:c r="Q64" s="38" t="str">
        <x:v>未评估</x:v>
      </x:c>
      <x:c r="R64" s="38" t="str"/>
      <x:c r="S64" s="38" t="str"/>
    </x:row>
    <x:row r="65" ht="42" customHeight="1">
      <x:c r="A65" s="31" t="str">
        <x:v>COND-064</x:v>
      </x:c>
      <x:c r="B65" s="31" t="n">
        <x:v>2019</x:v>
      </x:c>
      <x:c r="C65" s="31" t="str">
        <x:v>ad_lakers</x:v>
      </x:c>
      <x:c r="D65" s="31" t="str">
        <x:v>浓眉加盟湖人</x:v>
      </x:c>
      <x:c r="E65" s="31" t="str">
        <x:v>无分支</x:v>
      </x:c>
      <x:c r="F65" s="31" t="str">
        <x:v>事件条件</x:v>
      </x:c>
      <x:c r="G65" s="39" t="str">
        <x:v>event_completed</x:v>
      </x:c>
      <x:c r="H65" s="39" t="str">
        <x:v>已完成“詹姆斯的下一站”的“天选之子西游”分支</x:v>
      </x:c>
      <x:c r="I65" s="39" t="str">
        <x:v>是</x:v>
      </x:c>
      <x:c r="J65" s="39" t="n">
        <x:v>0</x:v>
      </x:c>
      <x:c r="K65" s="39" t="str">
        <x:v>事件:lebron_lakers；分支:hollywood</x:v>
      </x:c>
      <x:c r="L65" s="39" t="str">
        <x:v>分别验证满足与不满足两种状态</x:v>
      </x:c>
      <x:c r="M65" s="39" t="str">
        <x:v>不满足时不可触发；满足后再检查计分条件</x:v>
      </x:c>
      <x:c r="N65" s="38" t="str"/>
      <x:c r="O65" s="38" t="str"/>
      <x:c r="P65" s="43" t="str">
        <x:f>IF(N65="","",IFERROR(O65/N65,""))</x:f>
      </x:c>
      <x:c r="Q65" s="38" t="str">
        <x:v>未评估</x:v>
      </x:c>
      <x:c r="R65" s="38" t="str"/>
      <x:c r="S65" s="38" t="str"/>
    </x:row>
    <x:row r="66" ht="42" customHeight="1">
      <x:c r="A66" s="31" t="str">
        <x:v>COND-065</x:v>
      </x:c>
      <x:c r="B66" s="31" t="n">
        <x:v>2019</x:v>
      </x:c>
      <x:c r="C66" s="31" t="str">
        <x:v>ad_lakers</x:v>
      </x:c>
      <x:c r="D66" s="31" t="str">
        <x:v>浓眉加盟湖人</x:v>
      </x:c>
      <x:c r="E66" s="31" t="str">
        <x:v>无分支</x:v>
      </x:c>
      <x:c r="F66" s="31" t="str">
        <x:v>事件条件</x:v>
      </x:c>
      <x:c r="G66" s="39" t="str">
        <x:v>team_max_elite_players</x:v>
      </x:c>
      <x:c r="H66" s="39" t="str">
        <x:v>洛杉矶湖人90+综评球员不超过2人（+1）</x:v>
      </x:c>
      <x:c r="I66" s="39" t="str">
        <x:v>否</x:v>
      </x:c>
      <x:c r="J66" s="39" t="n">
        <x:v>1</x:v>
      </x:c>
      <x:c r="K66" s="39" t="str">
        <x:v>2；OVR≥90；洛杉矶湖人</x:v>
      </x:c>
      <x:c r="L66" s="39" t="str">
        <x:v>准备恰好达到与低于阈值的两组阵容/战绩</x:v>
      </x:c>
      <x:c r="M66" s="39" t="str">
        <x:v>满足后增加1分；仅差1分时可出现广告解锁</x:v>
      </x:c>
      <x:c r="N66" s="38" t="str"/>
      <x:c r="O66" s="38" t="str"/>
      <x:c r="P66" s="43" t="str">
        <x:f>IF(N66="","",IFERROR(O66/N66,""))</x:f>
      </x:c>
      <x:c r="Q66" s="38" t="str">
        <x:v>未评估</x:v>
      </x:c>
      <x:c r="R66" s="38" t="str"/>
      <x:c r="S66" s="38" t="str"/>
    </x:row>
    <x:row r="67" ht="42" customHeight="1">
      <x:c r="A67" s="31" t="str">
        <x:v>COND-066</x:v>
      </x:c>
      <x:c r="B67" s="31" t="n">
        <x:v>2019</x:v>
      </x:c>
      <x:c r="C67" s="31" t="str">
        <x:v>ad_lakers</x:v>
      </x:c>
      <x:c r="D67" s="31" t="str">
        <x:v>浓眉加盟湖人</x:v>
      </x:c>
      <x:c r="E67" s="31" t="str">
        <x:v>无分支</x:v>
      </x:c>
      <x:c r="F67" s="31" t="str">
        <x:v>事件条件</x:v>
      </x:c>
      <x:c r="G67" s="39" t="str">
        <x:v>team_previous_wins_at_least</x:v>
      </x:c>
      <x:c r="H67" s="39" t="str">
        <x:v>洛杉矶湖人上赛季至少45胜（+1）</x:v>
      </x:c>
      <x:c r="I67" s="39" t="str">
        <x:v>否</x:v>
      </x:c>
      <x:c r="J67" s="39" t="n">
        <x:v>1</x:v>
      </x:c>
      <x:c r="K67" s="39" t="str">
        <x:v>45；洛杉矶湖人</x:v>
      </x:c>
      <x:c r="L67" s="39" t="str">
        <x:v>准备恰好达到与低于阈值的两组阵容/战绩</x:v>
      </x:c>
      <x:c r="M67" s="39" t="str">
        <x:v>满足后增加1分；仅差1分时可出现广告解锁</x:v>
      </x:c>
      <x:c r="N67" s="38" t="str"/>
      <x:c r="O67" s="38" t="str"/>
      <x:c r="P67" s="43" t="str">
        <x:f>IF(N67="","",IFERROR(O67/N67,""))</x:f>
      </x:c>
      <x:c r="Q67" s="38" t="str">
        <x:v>未评估</x:v>
      </x:c>
      <x:c r="R67" s="38" t="str"/>
      <x:c r="S67" s="38" t="str"/>
    </x:row>
    <x:row r="68" ht="42" customHeight="1">
      <x:c r="A68" s="31" t="str">
        <x:v>COND-067</x:v>
      </x:c>
      <x:c r="B68" s="31" t="n">
        <x:v>2019</x:v>
      </x:c>
      <x:c r="C68" s="31" t="str">
        <x:v>kawhi_pg_clippers</x:v>
      </x:c>
      <x:c r="D68" s="31" t="str">
        <x:v>洛城双翼集结</x:v>
      </x:c>
      <x:c r="E68" s="31" t="str">
        <x:v>无分支</x:v>
      </x:c>
      <x:c r="F68" s="31" t="str">
        <x:v>事件条件</x:v>
      </x:c>
      <x:c r="G68" s="39" t="str">
        <x:v>team_strategy_in</x:v>
      </x:c>
      <x:c r="H68" s="39" t="str">
        <x:v>洛杉矶快船球队方向为争冠或季后赛竞争（+1）</x:v>
      </x:c>
      <x:c r="I68" s="39" t="str">
        <x:v>否</x:v>
      </x:c>
      <x:c r="J68" s="39" t="n">
        <x:v>1</x:v>
      </x:c>
      <x:c r="K68" s="39" t="str">
        <x:v>contender/playoff；洛杉矶快船</x:v>
      </x:c>
      <x:c r="L68" s="39" t="str">
        <x:v>准备恰好达到与低于阈值的两组阵容/战绩</x:v>
      </x:c>
      <x:c r="M68" s="39" t="str">
        <x:v>满足后增加1分；仅差1分时可出现广告解锁</x:v>
      </x:c>
      <x:c r="N68" s="38" t="str"/>
      <x:c r="O68" s="38" t="str"/>
      <x:c r="P68" s="43" t="str">
        <x:f>IF(N68="","",IFERROR(O68/N68,""))</x:f>
      </x:c>
      <x:c r="Q68" s="38" t="str">
        <x:v>未评估</x:v>
      </x:c>
      <x:c r="R68" s="38" t="str"/>
      <x:c r="S68" s="38" t="str"/>
    </x:row>
    <x:row r="69" ht="42" customHeight="1">
      <x:c r="A69" s="31" t="str">
        <x:v>COND-068</x:v>
      </x:c>
      <x:c r="B69" s="31" t="n">
        <x:v>2019</x:v>
      </x:c>
      <x:c r="C69" s="31" t="str">
        <x:v>kawhi_pg_clippers</x:v>
      </x:c>
      <x:c r="D69" s="31" t="str">
        <x:v>洛城双翼集结</x:v>
      </x:c>
      <x:c r="E69" s="31" t="str">
        <x:v>无分支</x:v>
      </x:c>
      <x:c r="F69" s="31" t="str">
        <x:v>事件条件</x:v>
      </x:c>
      <x:c r="G69" s="39" t="str">
        <x:v>team_previous_wins_at_least</x:v>
      </x:c>
      <x:c r="H69" s="39" t="str">
        <x:v>洛杉矶快船上赛季至少45胜（+1）</x:v>
      </x:c>
      <x:c r="I69" s="39" t="str">
        <x:v>否</x:v>
      </x:c>
      <x:c r="J69" s="39" t="n">
        <x:v>1</x:v>
      </x:c>
      <x:c r="K69" s="39" t="str">
        <x:v>45；洛杉矶快船</x:v>
      </x:c>
      <x:c r="L69" s="39" t="str">
        <x:v>准备恰好达到与低于阈值的两组阵容/战绩</x:v>
      </x:c>
      <x:c r="M69" s="39" t="str">
        <x:v>满足后增加1分；仅差1分时可出现广告解锁</x:v>
      </x:c>
      <x:c r="N69" s="38" t="str"/>
      <x:c r="O69" s="38" t="str"/>
      <x:c r="P69" s="43" t="str">
        <x:f>IF(N69="","",IFERROR(O69/N69,""))</x:f>
      </x:c>
      <x:c r="Q69" s="38" t="str">
        <x:v>未评估</x:v>
      </x:c>
      <x:c r="R69" s="38" t="str"/>
      <x:c r="S69" s="38" t="str"/>
    </x:row>
    <x:row r="70" ht="42" customHeight="1">
      <x:c r="A70" s="31" t="str">
        <x:v>COND-069</x:v>
      </x:c>
      <x:c r="B70" s="31" t="n">
        <x:v>2019</x:v>
      </x:c>
      <x:c r="C70" s="31" t="str">
        <x:v>kawhi_pg_clippers</x:v>
      </x:c>
      <x:c r="D70" s="31" t="str">
        <x:v>洛城双翼集结</x:v>
      </x:c>
      <x:c r="E70" s="31" t="str">
        <x:v>无分支</x:v>
      </x:c>
      <x:c r="F70" s="31" t="str">
        <x:v>事件条件</x:v>
      </x:c>
      <x:c r="G70" s="39" t="str">
        <x:v>player_team_previous_wins_at_most</x:v>
      </x:c>
      <x:c r="H70" s="39" t="str">
        <x:v>保罗·乔治所在球队上赛季不超过55胜（+1）</x:v>
      </x:c>
      <x:c r="I70" s="39" t="str">
        <x:v>否</x:v>
      </x:c>
      <x:c r="J70" s="39" t="n">
        <x:v>1</x:v>
      </x:c>
      <x:c r="K70" s="39" t="str">
        <x:v>55</x:v>
      </x:c>
      <x:c r="L70" s="39" t="str">
        <x:v>准备恰好达到与低于阈值的两组阵容/战绩</x:v>
      </x:c>
      <x:c r="M70" s="39" t="str">
        <x:v>满足后增加1分；仅差1分时可出现广告解锁</x:v>
      </x:c>
      <x:c r="N70" s="38" t="str"/>
      <x:c r="O70" s="38" t="str"/>
      <x:c r="P70" s="43" t="str">
        <x:f>IF(N70="","",IFERROR(O70/N70,""))</x:f>
      </x:c>
      <x:c r="Q70" s="38" t="str">
        <x:v>未评估</x:v>
      </x:c>
      <x:c r="R70" s="38" t="str"/>
      <x:c r="S70" s="38" t="str"/>
    </x:row>
    <x:row r="71" ht="42" customHeight="1">
      <x:c r="A71" s="31" t="str">
        <x:v>COND-070</x:v>
      </x:c>
      <x:c r="B71" s="31" t="n">
        <x:v>2019</x:v>
      </x:c>
      <x:c r="C71" s="31" t="str">
        <x:v>westbrook_houston</x:v>
      </x:c>
      <x:c r="D71" s="31" t="str">
        <x:v>昔日兄弟再聚首</x:v>
      </x:c>
      <x:c r="E71" s="31" t="str">
        <x:v>无分支</x:v>
      </x:c>
      <x:c r="F71" s="31" t="str">
        <x:v>事件条件</x:v>
      </x:c>
      <x:c r="G71" s="39" t="str">
        <x:v>player_on_team</x:v>
      </x:c>
      <x:c r="H71" s="39" t="str">
        <x:v>詹姆斯·哈登效力于休斯敦</x:v>
      </x:c>
      <x:c r="I71" s="39" t="str">
        <x:v>是</x:v>
      </x:c>
      <x:c r="J71" s="39" t="n">
        <x:v>0</x:v>
      </x:c>
      <x:c r="K71" s="39" t="str">
        <x:v>休斯敦</x:v>
      </x:c>
      <x:c r="L71" s="39" t="str">
        <x:v>分别验证满足与不满足两种状态</x:v>
      </x:c>
      <x:c r="M71" s="39" t="str">
        <x:v>不满足时不可触发；满足后再检查计分条件</x:v>
      </x:c>
      <x:c r="N71" s="38" t="str"/>
      <x:c r="O71" s="38" t="str"/>
      <x:c r="P71" s="43" t="str">
        <x:f>IF(N71="","",IFERROR(O71/N71,""))</x:f>
      </x:c>
      <x:c r="Q71" s="38" t="str">
        <x:v>未评估</x:v>
      </x:c>
      <x:c r="R71" s="38" t="str"/>
      <x:c r="S71" s="38" t="str"/>
    </x:row>
    <x:row r="72" ht="42" customHeight="1">
      <x:c r="A72" s="31" t="str">
        <x:v>COND-071</x:v>
      </x:c>
      <x:c r="B72" s="31" t="n">
        <x:v>2019</x:v>
      </x:c>
      <x:c r="C72" s="31" t="str">
        <x:v>westbrook_houston</x:v>
      </x:c>
      <x:c r="D72" s="31" t="str">
        <x:v>昔日兄弟再聚首</x:v>
      </x:c>
      <x:c r="E72" s="31" t="str">
        <x:v>无分支</x:v>
      </x:c>
      <x:c r="F72" s="31" t="str">
        <x:v>事件条件</x:v>
      </x:c>
      <x:c r="G72" s="39" t="str">
        <x:v>team_strategy_in</x:v>
      </x:c>
      <x:c r="H72" s="39" t="str">
        <x:v>休斯敦球队方向为争冠或季后赛竞争（+1）</x:v>
      </x:c>
      <x:c r="I72" s="39" t="str">
        <x:v>否</x:v>
      </x:c>
      <x:c r="J72" s="39" t="n">
        <x:v>1</x:v>
      </x:c>
      <x:c r="K72" s="39" t="str">
        <x:v>contender/playoff；休斯敦</x:v>
      </x:c>
      <x:c r="L72" s="39" t="str">
        <x:v>准备恰好达到与低于阈值的两组阵容/战绩</x:v>
      </x:c>
      <x:c r="M72" s="39" t="str">
        <x:v>满足后增加1分；仅差1分时可出现广告解锁</x:v>
      </x:c>
      <x:c r="N72" s="38" t="str"/>
      <x:c r="O72" s="38" t="str"/>
      <x:c r="P72" s="43" t="str">
        <x:f>IF(N72="","",IFERROR(O72/N72,""))</x:f>
      </x:c>
      <x:c r="Q72" s="38" t="str">
        <x:v>未评估</x:v>
      </x:c>
      <x:c r="R72" s="38" t="str"/>
      <x:c r="S72" s="38" t="str"/>
    </x:row>
    <x:row r="73" ht="42" customHeight="1">
      <x:c r="A73" s="31" t="str">
        <x:v>COND-072</x:v>
      </x:c>
      <x:c r="B73" s="31" t="n">
        <x:v>2019</x:v>
      </x:c>
      <x:c r="C73" s="31" t="str">
        <x:v>westbrook_houston</x:v>
      </x:c>
      <x:c r="D73" s="31" t="str">
        <x:v>昔日兄弟再聚首</x:v>
      </x:c>
      <x:c r="E73" s="31" t="str">
        <x:v>无分支</x:v>
      </x:c>
      <x:c r="F73" s="31" t="str">
        <x:v>事件条件</x:v>
      </x:c>
      <x:c r="G73" s="39" t="str">
        <x:v>team_previous_wins_at_least</x:v>
      </x:c>
      <x:c r="H73" s="39" t="str">
        <x:v>休斯敦上赛季至少45胜（+1）</x:v>
      </x:c>
      <x:c r="I73" s="39" t="str">
        <x:v>否</x:v>
      </x:c>
      <x:c r="J73" s="39" t="n">
        <x:v>1</x:v>
      </x:c>
      <x:c r="K73" s="39" t="str">
        <x:v>45；休斯敦</x:v>
      </x:c>
      <x:c r="L73" s="39" t="str">
        <x:v>准备恰好达到与低于阈值的两组阵容/战绩</x:v>
      </x:c>
      <x:c r="M73" s="39" t="str">
        <x:v>满足后增加1分；仅差1分时可出现广告解锁</x:v>
      </x:c>
      <x:c r="N73" s="38" t="str"/>
      <x:c r="O73" s="38" t="str"/>
      <x:c r="P73" s="43" t="str">
        <x:f>IF(N73="","",IFERROR(O73/N73,""))</x:f>
      </x:c>
      <x:c r="Q73" s="38" t="str">
        <x:v>未评估</x:v>
      </x:c>
      <x:c r="R73" s="38" t="str"/>
      <x:c r="S73" s="38" t="str"/>
    </x:row>
    <x:row r="74" ht="42" customHeight="1">
      <x:c r="A74" s="31" t="str">
        <x:v>COND-073</x:v>
      </x:c>
      <x:c r="B74" s="31" t="n">
        <x:v>2019</x:v>
      </x:c>
      <x:c r="C74" s="31" t="str">
        <x:v>durant_kyrie_brooklyn</x:v>
      </x:c>
      <x:c r="D74" s="31" t="str">
        <x:v>双星汇聚布鲁克林</x:v>
      </x:c>
      <x:c r="E74" s="31" t="str">
        <x:v>无分支</x:v>
      </x:c>
      <x:c r="F74" s="31" t="str">
        <x:v>事件条件</x:v>
      </x:c>
      <x:c r="G74" s="39" t="str">
        <x:v>event_completed</x:v>
      </x:c>
      <x:c r="H74" s="39" t="str">
        <x:v>已完成“杜兰特的抉择”</x:v>
      </x:c>
      <x:c r="I74" s="39" t="str">
        <x:v>是</x:v>
      </x:c>
      <x:c r="J74" s="39" t="n">
        <x:v>0</x:v>
      </x:c>
      <x:c r="K74" s="39" t="str">
        <x:v>事件:durant_warriors</x:v>
      </x:c>
      <x:c r="L74" s="39" t="str">
        <x:v>分别验证满足与不满足两种状态</x:v>
      </x:c>
      <x:c r="M74" s="39" t="str">
        <x:v>不满足时不可触发；满足后再检查计分条件</x:v>
      </x:c>
      <x:c r="N74" s="38" t="str"/>
      <x:c r="O74" s="38" t="str"/>
      <x:c r="P74" s="43" t="str">
        <x:f>IF(N74="","",IFERROR(O74/N74,""))</x:f>
      </x:c>
      <x:c r="Q74" s="38" t="str">
        <x:v>未评估</x:v>
      </x:c>
      <x:c r="R74" s="38" t="str"/>
      <x:c r="S74" s="38" t="str"/>
    </x:row>
    <x:row r="75" ht="42" customHeight="1">
      <x:c r="A75" s="31" t="str">
        <x:v>COND-074</x:v>
      </x:c>
      <x:c r="B75" s="31" t="n">
        <x:v>2019</x:v>
      </x:c>
      <x:c r="C75" s="31" t="str">
        <x:v>durant_kyrie_brooklyn</x:v>
      </x:c>
      <x:c r="D75" s="31" t="str">
        <x:v>双星汇聚布鲁克林</x:v>
      </x:c>
      <x:c r="E75" s="31" t="str">
        <x:v>无分支</x:v>
      </x:c>
      <x:c r="F75" s="31" t="str">
        <x:v>事件条件</x:v>
      </x:c>
      <x:c r="G75" s="39" t="str">
        <x:v>player_team_previous_season_without_title</x:v>
      </x:c>
      <x:c r="H75" s="39" t="str">
        <x:v>凯文·杜兰特所在球队上赛季未夺冠</x:v>
      </x:c>
      <x:c r="I75" s="39" t="str">
        <x:v>是</x:v>
      </x:c>
      <x:c r="J75" s="39" t="n">
        <x:v>0</x:v>
      </x:c>
      <x:c r="K75" s="39" t="str"/>
      <x:c r="L75" s="39" t="str">
        <x:v>分别验证满足与不满足两种状态</x:v>
      </x:c>
      <x:c r="M75" s="39" t="str">
        <x:v>不满足时不可触发；满足后再检查计分条件</x:v>
      </x:c>
      <x:c r="N75" s="38" t="str"/>
      <x:c r="O75" s="38" t="str"/>
      <x:c r="P75" s="43" t="str">
        <x:f>IF(N75="","",IFERROR(O75/N75,""))</x:f>
      </x:c>
      <x:c r="Q75" s="38" t="str">
        <x:v>未评估</x:v>
      </x:c>
      <x:c r="R75" s="38" t="str"/>
      <x:c r="S75" s="38" t="str"/>
    </x:row>
    <x:row r="76" ht="42" customHeight="1">
      <x:c r="A76" s="31" t="str">
        <x:v>COND-075</x:v>
      </x:c>
      <x:c r="B76" s="31" t="n">
        <x:v>2019</x:v>
      </x:c>
      <x:c r="C76" s="31" t="str">
        <x:v>durant_kyrie_brooklyn</x:v>
      </x:c>
      <x:c r="D76" s="31" t="str">
        <x:v>双星汇聚布鲁克林</x:v>
      </x:c>
      <x:c r="E76" s="31" t="str">
        <x:v>无分支</x:v>
      </x:c>
      <x:c r="F76" s="31" t="str">
        <x:v>事件条件</x:v>
      </x:c>
      <x:c r="G76" s="39" t="str">
        <x:v>player_team_previous_season_without_title</x:v>
      </x:c>
      <x:c r="H76" s="39" t="str">
        <x:v>凯里·欧文所在球队上赛季未夺冠</x:v>
      </x:c>
      <x:c r="I76" s="39" t="str">
        <x:v>是</x:v>
      </x:c>
      <x:c r="J76" s="39" t="n">
        <x:v>0</x:v>
      </x:c>
      <x:c r="K76" s="39" t="str"/>
      <x:c r="L76" s="39" t="str">
        <x:v>分别验证满足与不满足两种状态</x:v>
      </x:c>
      <x:c r="M76" s="39" t="str">
        <x:v>不满足时不可触发；满足后再检查计分条件</x:v>
      </x:c>
      <x:c r="N76" s="38" t="str"/>
      <x:c r="O76" s="38" t="str"/>
      <x:c r="P76" s="43" t="str">
        <x:f>IF(N76="","",IFERROR(O76/N76,""))</x:f>
      </x:c>
      <x:c r="Q76" s="38" t="str">
        <x:v>未评估</x:v>
      </x:c>
      <x:c r="R76" s="38" t="str"/>
      <x:c r="S76" s="38" t="str"/>
    </x:row>
    <x:row r="77" ht="42" customHeight="1">
      <x:c r="A77" s="31" t="str">
        <x:v>COND-076</x:v>
      </x:c>
      <x:c r="B77" s="31" t="n">
        <x:v>2020</x:v>
      </x:c>
      <x:c r="C77" s="31" t="str">
        <x:v>paul_suns</x:v>
      </x:c>
      <x:c r="D77" s="31" t="str">
        <x:v>保罗加盟太阳</x:v>
      </x:c>
      <x:c r="E77" s="31" t="str">
        <x:v>无分支</x:v>
      </x:c>
      <x:c r="F77" s="31" t="str">
        <x:v>事件条件</x:v>
      </x:c>
      <x:c r="G77" s="39" t="str">
        <x:v>team_strategy_in</x:v>
      </x:c>
      <x:c r="H77" s="39" t="str">
        <x:v>菲尼克斯球队方向为争冠或季后赛竞争（+1）</x:v>
      </x:c>
      <x:c r="I77" s="39" t="str">
        <x:v>否</x:v>
      </x:c>
      <x:c r="J77" s="39" t="n">
        <x:v>1</x:v>
      </x:c>
      <x:c r="K77" s="39" t="str">
        <x:v>contender/playoff；菲尼克斯</x:v>
      </x:c>
      <x:c r="L77" s="39" t="str">
        <x:v>准备恰好达到与低于阈值的两组阵容/战绩</x:v>
      </x:c>
      <x:c r="M77" s="39" t="str">
        <x:v>满足后增加1分；仅差1分时可出现广告解锁</x:v>
      </x:c>
      <x:c r="N77" s="38" t="str"/>
      <x:c r="O77" s="38" t="str"/>
      <x:c r="P77" s="43" t="str">
        <x:f>IF(N77="","",IFERROR(O77/N77,""))</x:f>
      </x:c>
      <x:c r="Q77" s="38" t="str">
        <x:v>未评估</x:v>
      </x:c>
      <x:c r="R77" s="38" t="str"/>
      <x:c r="S77" s="38" t="str"/>
    </x:row>
    <x:row r="78" ht="42" customHeight="1">
      <x:c r="A78" s="31" t="str">
        <x:v>COND-077</x:v>
      </x:c>
      <x:c r="B78" s="31" t="n">
        <x:v>2020</x:v>
      </x:c>
      <x:c r="C78" s="31" t="str">
        <x:v>paul_suns</x:v>
      </x:c>
      <x:c r="D78" s="31" t="str">
        <x:v>保罗加盟太阳</x:v>
      </x:c>
      <x:c r="E78" s="31" t="str">
        <x:v>无分支</x:v>
      </x:c>
      <x:c r="F78" s="31" t="str">
        <x:v>事件条件</x:v>
      </x:c>
      <x:c r="G78" s="39" t="str">
        <x:v>team_previous_wins_at_least</x:v>
      </x:c>
      <x:c r="H78" s="39" t="str">
        <x:v>菲尼克斯上赛季至少45胜（+1）</x:v>
      </x:c>
      <x:c r="I78" s="39" t="str">
        <x:v>否</x:v>
      </x:c>
      <x:c r="J78" s="39" t="n">
        <x:v>1</x:v>
      </x:c>
      <x:c r="K78" s="39" t="str">
        <x:v>45；菲尼克斯</x:v>
      </x:c>
      <x:c r="L78" s="39" t="str">
        <x:v>准备恰好达到与低于阈值的两组阵容/战绩</x:v>
      </x:c>
      <x:c r="M78" s="39" t="str">
        <x:v>满足后增加1分；仅差1分时可出现广告解锁</x:v>
      </x:c>
      <x:c r="N78" s="38" t="str"/>
      <x:c r="O78" s="38" t="str"/>
      <x:c r="P78" s="43" t="str">
        <x:f>IF(N78="","",IFERROR(O78/N78,""))</x:f>
      </x:c>
      <x:c r="Q78" s="38" t="str">
        <x:v>未评估</x:v>
      </x:c>
      <x:c r="R78" s="38" t="str"/>
      <x:c r="S78" s="38" t="str"/>
    </x:row>
    <x:row r="79" ht="42" customHeight="1">
      <x:c r="A79" s="31" t="str">
        <x:v>COND-078</x:v>
      </x:c>
      <x:c r="B79" s="31" t="n">
        <x:v>2020</x:v>
      </x:c>
      <x:c r="C79" s="31" t="str">
        <x:v>paul_suns</x:v>
      </x:c>
      <x:c r="D79" s="31" t="str">
        <x:v>保罗加盟太阳</x:v>
      </x:c>
      <x:c r="E79" s="31" t="str">
        <x:v>无分支</x:v>
      </x:c>
      <x:c r="F79" s="31" t="str">
        <x:v>事件条件</x:v>
      </x:c>
      <x:c r="G79" s="39" t="str">
        <x:v>team_max_elite_players</x:v>
      </x:c>
      <x:c r="H79" s="39" t="str">
        <x:v>菲尼克斯88+综评球员不超过2人（+1）</x:v>
      </x:c>
      <x:c r="I79" s="39" t="str">
        <x:v>否</x:v>
      </x:c>
      <x:c r="J79" s="39" t="n">
        <x:v>1</x:v>
      </x:c>
      <x:c r="K79" s="39" t="str">
        <x:v>2；OVR≥88；菲尼克斯</x:v>
      </x:c>
      <x:c r="L79" s="39" t="str">
        <x:v>准备恰好达到与低于阈值的两组阵容/战绩</x:v>
      </x:c>
      <x:c r="M79" s="39" t="str">
        <x:v>满足后增加1分；仅差1分时可出现广告解锁</x:v>
      </x:c>
      <x:c r="N79" s="38" t="str"/>
      <x:c r="O79" s="38" t="str"/>
      <x:c r="P79" s="43" t="str">
        <x:f>IF(N79="","",IFERROR(O79/N79,""))</x:f>
      </x:c>
      <x:c r="Q79" s="38" t="str">
        <x:v>未评估</x:v>
      </x:c>
      <x:c r="R79" s="38" t="str"/>
      <x:c r="S79" s="38" t="str"/>
    </x:row>
    <x:row r="80" ht="42" customHeight="1">
      <x:c r="A80" s="31" t="str">
        <x:v>COND-079</x:v>
      </x:c>
      <x:c r="B80" s="31" t="n">
        <x:v>2021</x:v>
      </x:c>
      <x:c r="C80" s="31" t="str">
        <x:v>harden_brooklyn</x:v>
      </x:c>
      <x:c r="D80" s="31" t="str">
        <x:v>布鲁克林三巨头</x:v>
      </x:c>
      <x:c r="E80" s="31" t="str">
        <x:v>无分支</x:v>
      </x:c>
      <x:c r="F80" s="31" t="str">
        <x:v>事件条件</x:v>
      </x:c>
      <x:c r="G80" s="39" t="str">
        <x:v>event_completed</x:v>
      </x:c>
      <x:c r="H80" s="39" t="str">
        <x:v>已完成“双星汇聚布鲁克林”</x:v>
      </x:c>
      <x:c r="I80" s="39" t="str">
        <x:v>是</x:v>
      </x:c>
      <x:c r="J80" s="39" t="n">
        <x:v>0</x:v>
      </x:c>
      <x:c r="K80" s="39" t="str">
        <x:v>事件:durant_kyrie_brooklyn</x:v>
      </x:c>
      <x:c r="L80" s="39" t="str">
        <x:v>分别验证满足与不满足两种状态</x:v>
      </x:c>
      <x:c r="M80" s="39" t="str">
        <x:v>不满足时不可触发；满足后再检查计分条件</x:v>
      </x:c>
      <x:c r="N80" s="38" t="str"/>
      <x:c r="O80" s="38" t="str"/>
      <x:c r="P80" s="43" t="str">
        <x:f>IF(N80="","",IFERROR(O80/N80,""))</x:f>
      </x:c>
      <x:c r="Q80" s="38" t="str">
        <x:v>未评估</x:v>
      </x:c>
      <x:c r="R80" s="38" t="str"/>
      <x:c r="S80" s="38" t="str"/>
    </x:row>
    <x:row r="81" ht="42" customHeight="1">
      <x:c r="A81" s="31" t="str">
        <x:v>COND-080</x:v>
      </x:c>
      <x:c r="B81" s="31" t="n">
        <x:v>2021</x:v>
      </x:c>
      <x:c r="C81" s="31" t="str">
        <x:v>harden_brooklyn</x:v>
      </x:c>
      <x:c r="D81" s="31" t="str">
        <x:v>布鲁克林三巨头</x:v>
      </x:c>
      <x:c r="E81" s="31" t="str">
        <x:v>无分支</x:v>
      </x:c>
      <x:c r="F81" s="31" t="str">
        <x:v>事件条件</x:v>
      </x:c>
      <x:c r="G81" s="39" t="str">
        <x:v>team_strategy_in</x:v>
      </x:c>
      <x:c r="H81" s="39" t="str">
        <x:v>布鲁克林球队方向为争冠或季后赛竞争（+1）</x:v>
      </x:c>
      <x:c r="I81" s="39" t="str">
        <x:v>否</x:v>
      </x:c>
      <x:c r="J81" s="39" t="n">
        <x:v>1</x:v>
      </x:c>
      <x:c r="K81" s="39" t="str">
        <x:v>contender/playoff；BKN</x:v>
      </x:c>
      <x:c r="L81" s="39" t="str">
        <x:v>准备恰好达到与低于阈值的两组阵容/战绩</x:v>
      </x:c>
      <x:c r="M81" s="39" t="str">
        <x:v>满足后增加1分；仅差1分时可出现广告解锁</x:v>
      </x:c>
      <x:c r="N81" s="38" t="str"/>
      <x:c r="O81" s="38" t="str"/>
      <x:c r="P81" s="43" t="str">
        <x:f>IF(N81="","",IFERROR(O81/N81,""))</x:f>
      </x:c>
      <x:c r="Q81" s="38" t="str">
        <x:v>未评估</x:v>
      </x:c>
      <x:c r="R81" s="38" t="str"/>
      <x:c r="S81" s="38" t="str"/>
    </x:row>
    <x:row r="82" ht="42" customHeight="1">
      <x:c r="A82" s="31" t="str">
        <x:v>COND-081</x:v>
      </x:c>
      <x:c r="B82" s="31" t="n">
        <x:v>2021</x:v>
      </x:c>
      <x:c r="C82" s="31" t="str">
        <x:v>harden_brooklyn</x:v>
      </x:c>
      <x:c r="D82" s="31" t="str">
        <x:v>布鲁克林三巨头</x:v>
      </x:c>
      <x:c r="E82" s="31" t="str">
        <x:v>无分支</x:v>
      </x:c>
      <x:c r="F82" s="31" t="str">
        <x:v>事件条件</x:v>
      </x:c>
      <x:c r="G82" s="39" t="str">
        <x:v>player_team_previous_season_without_title</x:v>
      </x:c>
      <x:c r="H82" s="39" t="str">
        <x:v>詹姆斯·哈登所在球队上赛季未夺冠（+1）</x:v>
      </x:c>
      <x:c r="I82" s="39" t="str">
        <x:v>否</x:v>
      </x:c>
      <x:c r="J82" s="39" t="n">
        <x:v>1</x:v>
      </x:c>
      <x:c r="K82" s="39" t="str"/>
      <x:c r="L82" s="39" t="str">
        <x:v>准备恰好达到与低于阈值的两组阵容/战绩</x:v>
      </x:c>
      <x:c r="M82" s="39" t="str">
        <x:v>满足后增加1分；仅差1分时可出现广告解锁</x:v>
      </x:c>
      <x:c r="N82" s="38" t="str"/>
      <x:c r="O82" s="38" t="str"/>
      <x:c r="P82" s="43" t="str">
        <x:f>IF(N82="","",IFERROR(O82/N82,""))</x:f>
      </x:c>
      <x:c r="Q82" s="38" t="str">
        <x:v>未评估</x:v>
      </x:c>
      <x:c r="R82" s="38" t="str"/>
      <x:c r="S82" s="38" t="str"/>
    </x:row>
    <x:row r="83" ht="42" customHeight="1">
      <x:c r="A83" s="31" t="str">
        <x:v>COND-082</x:v>
      </x:c>
      <x:c r="B83" s="31" t="n">
        <x:v>2021</x:v>
      </x:c>
      <x:c r="C83" s="31" t="str">
        <x:v>westbrook_lakers</x:v>
      </x:c>
      <x:c r="D83" s="31" t="str">
        <x:v>三双王来到洛杉矶</x:v>
      </x:c>
      <x:c r="E83" s="31" t="str">
        <x:v>无分支</x:v>
      </x:c>
      <x:c r="F83" s="31" t="str">
        <x:v>默认计分条件</x:v>
      </x:c>
      <x:c r="G83" s="39" t="str">
        <x:v>team_strategy_in</x:v>
      </x:c>
      <x:c r="H83" s="39" t="str">
        <x:v>洛杉矶湖人球队方向为争冠、季后赛竞争或观望调整</x:v>
      </x:c>
      <x:c r="I83" s="39" t="str">
        <x:v>否</x:v>
      </x:c>
      <x:c r="J83" s="39" t="n">
        <x:v>1</x:v>
      </x:c>
      <x:c r="K83" s="39" t="str">
        <x:v>contender/playoff/retooling；洛杉矶湖人</x:v>
      </x:c>
      <x:c r="L83" s="39" t="str">
        <x:v>准备恰好达到与低于阈值的两组阵容/战绩</x:v>
      </x:c>
      <x:c r="M83" s="39" t="str">
        <x:v>满足后增加1分；仅差1分时可出现广告解锁</x:v>
      </x:c>
      <x:c r="N83" s="38" t="str"/>
      <x:c r="O83" s="38" t="str"/>
      <x:c r="P83" s="43" t="str">
        <x:f>IF(N83="","",IFERROR(O83/N83,""))</x:f>
      </x:c>
      <x:c r="Q83" s="38" t="str">
        <x:v>未评估</x:v>
      </x:c>
      <x:c r="R83" s="38" t="str"/>
      <x:c r="S83" s="38" t="str"/>
    </x:row>
    <x:row r="84" ht="42" customHeight="1">
      <x:c r="A84" s="31" t="str">
        <x:v>COND-083</x:v>
      </x:c>
      <x:c r="B84" s="31" t="n">
        <x:v>2021</x:v>
      </x:c>
      <x:c r="C84" s="31" t="str">
        <x:v>westbrook_lakers</x:v>
      </x:c>
      <x:c r="D84" s="31" t="str">
        <x:v>三双王来到洛杉矶</x:v>
      </x:c>
      <x:c r="E84" s="31" t="str">
        <x:v>无分支</x:v>
      </x:c>
      <x:c r="F84" s="31" t="str">
        <x:v>默认计分条件</x:v>
      </x:c>
      <x:c r="G84" s="39" t="str">
        <x:v>team_max_elite_players</x:v>
      </x:c>
      <x:c r="H84" s="39" t="str">
        <x:v>洛杉矶湖人88+综评球员不超过2人</x:v>
      </x:c>
      <x:c r="I84" s="39" t="str">
        <x:v>否</x:v>
      </x:c>
      <x:c r="J84" s="39" t="n">
        <x:v>1</x:v>
      </x:c>
      <x:c r="K84" s="39" t="str">
        <x:v>2；OVR≥88；洛杉矶湖人</x:v>
      </x:c>
      <x:c r="L84" s="39" t="str">
        <x:v>准备恰好达到与低于阈值的两组阵容/战绩</x:v>
      </x:c>
      <x:c r="M84" s="39" t="str">
        <x:v>满足后增加1分；仅差1分时可出现广告解锁</x:v>
      </x:c>
      <x:c r="N84" s="38" t="str"/>
      <x:c r="O84" s="38" t="str"/>
      <x:c r="P84" s="43" t="str">
        <x:f>IF(N84="","",IFERROR(O84/N84,""))</x:f>
      </x:c>
      <x:c r="Q84" s="38" t="str">
        <x:v>未评估</x:v>
      </x:c>
      <x:c r="R84" s="38" t="str"/>
      <x:c r="S84" s="38" t="str"/>
    </x:row>
    <x:row r="85" ht="42" customHeight="1">
      <x:c r="A85" s="31" t="str">
        <x:v>COND-084</x:v>
      </x:c>
      <x:c r="B85" s="31" t="n">
        <x:v>2021</x:v>
      </x:c>
      <x:c r="C85" s="31" t="str">
        <x:v>westbrook_lakers</x:v>
      </x:c>
      <x:c r="D85" s="31" t="str">
        <x:v>三双王来到洛杉矶</x:v>
      </x:c>
      <x:c r="E85" s="31" t="str">
        <x:v>无分支</x:v>
      </x:c>
      <x:c r="F85" s="31" t="str">
        <x:v>默认计分条件</x:v>
      </x:c>
      <x:c r="G85" s="39" t="str">
        <x:v>player_team_previous_wins_at_most</x:v>
      </x:c>
      <x:c r="H85" s="39" t="str">
        <x:v>拉塞尔·威斯布鲁克所在球队上赛季不超过55胜</x:v>
      </x:c>
      <x:c r="I85" s="39" t="str">
        <x:v>否</x:v>
      </x:c>
      <x:c r="J85" s="39" t="n">
        <x:v>1</x:v>
      </x:c>
      <x:c r="K85" s="39" t="str">
        <x:v>55</x:v>
      </x:c>
      <x:c r="L85" s="39" t="str">
        <x:v>准备恰好达到与低于阈值的两组阵容/战绩</x:v>
      </x:c>
      <x:c r="M85" s="39" t="str">
        <x:v>满足后增加1分；仅差1分时可出现广告解锁</x:v>
      </x:c>
      <x:c r="N85" s="38" t="str"/>
      <x:c r="O85" s="38" t="str"/>
      <x:c r="P85" s="43" t="str">
        <x:f>IF(N85="","",IFERROR(O85/N85,""))</x:f>
      </x:c>
      <x:c r="Q85" s="38" t="str">
        <x:v>未评估</x:v>
      </x:c>
      <x:c r="R85" s="38" t="str"/>
      <x:c r="S85" s="38" t="str"/>
    </x:row>
    <x:row r="86" ht="42" customHeight="1">
      <x:c r="A86" s="31" t="str">
        <x:v>COND-085</x:v>
      </x:c>
      <x:c r="B86" s="31" t="n">
        <x:v>2022</x:v>
      </x:c>
      <x:c r="C86" s="31" t="str">
        <x:v>mitchell_cleveland</x:v>
      </x:c>
      <x:c r="D86" s="31" t="str">
        <x:v>米切尔空降骑士</x:v>
      </x:c>
      <x:c r="E86" s="31" t="str">
        <x:v>无分支</x:v>
      </x:c>
      <x:c r="F86" s="31" t="str">
        <x:v>默认计分条件</x:v>
      </x:c>
      <x:c r="G86" s="39" t="str">
        <x:v>team_strategy_in</x:v>
      </x:c>
      <x:c r="H86" s="39" t="str">
        <x:v>克里夫兰球队方向为争冠、季后赛竞争或观望调整</x:v>
      </x:c>
      <x:c r="I86" s="39" t="str">
        <x:v>否</x:v>
      </x:c>
      <x:c r="J86" s="39" t="n">
        <x:v>1</x:v>
      </x:c>
      <x:c r="K86" s="39" t="str">
        <x:v>contender/playoff/retooling；克里夫兰</x:v>
      </x:c>
      <x:c r="L86" s="39" t="str">
        <x:v>准备恰好达到与低于阈值的两组阵容/战绩</x:v>
      </x:c>
      <x:c r="M86" s="39" t="str">
        <x:v>满足后增加1分；仅差1分时可出现广告解锁</x:v>
      </x:c>
      <x:c r="N86" s="38" t="str"/>
      <x:c r="O86" s="38" t="str"/>
      <x:c r="P86" s="43" t="str">
        <x:f>IF(N86="","",IFERROR(O86/N86,""))</x:f>
      </x:c>
      <x:c r="Q86" s="38" t="str">
        <x:v>未评估</x:v>
      </x:c>
      <x:c r="R86" s="38" t="str"/>
      <x:c r="S86" s="38" t="str"/>
    </x:row>
    <x:row r="87" ht="42" customHeight="1">
      <x:c r="A87" s="31" t="str">
        <x:v>COND-086</x:v>
      </x:c>
      <x:c r="B87" s="31" t="n">
        <x:v>2022</x:v>
      </x:c>
      <x:c r="C87" s="31" t="str">
        <x:v>mitchell_cleveland</x:v>
      </x:c>
      <x:c r="D87" s="31" t="str">
        <x:v>米切尔空降骑士</x:v>
      </x:c>
      <x:c r="E87" s="31" t="str">
        <x:v>无分支</x:v>
      </x:c>
      <x:c r="F87" s="31" t="str">
        <x:v>默认计分条件</x:v>
      </x:c>
      <x:c r="G87" s="39" t="str">
        <x:v>team_max_elite_players</x:v>
      </x:c>
      <x:c r="H87" s="39" t="str">
        <x:v>克里夫兰88+综评球员不超过2人</x:v>
      </x:c>
      <x:c r="I87" s="39" t="str">
        <x:v>否</x:v>
      </x:c>
      <x:c r="J87" s="39" t="n">
        <x:v>1</x:v>
      </x:c>
      <x:c r="K87" s="39" t="str">
        <x:v>2；OVR≥88；克里夫兰</x:v>
      </x:c>
      <x:c r="L87" s="39" t="str">
        <x:v>准备恰好达到与低于阈值的两组阵容/战绩</x:v>
      </x:c>
      <x:c r="M87" s="39" t="str">
        <x:v>满足后增加1分；仅差1分时可出现广告解锁</x:v>
      </x:c>
      <x:c r="N87" s="38" t="str"/>
      <x:c r="O87" s="38" t="str"/>
      <x:c r="P87" s="43" t="str">
        <x:f>IF(N87="","",IFERROR(O87/N87,""))</x:f>
      </x:c>
      <x:c r="Q87" s="38" t="str">
        <x:v>未评估</x:v>
      </x:c>
      <x:c r="R87" s="38" t="str"/>
      <x:c r="S87" s="38" t="str"/>
    </x:row>
    <x:row r="88" ht="42" customHeight="1">
      <x:c r="A88" s="31" t="str">
        <x:v>COND-087</x:v>
      </x:c>
      <x:c r="B88" s="31" t="n">
        <x:v>2022</x:v>
      </x:c>
      <x:c r="C88" s="31" t="str">
        <x:v>mitchell_cleveland</x:v>
      </x:c>
      <x:c r="D88" s="31" t="str">
        <x:v>米切尔空降骑士</x:v>
      </x:c>
      <x:c r="E88" s="31" t="str">
        <x:v>无分支</x:v>
      </x:c>
      <x:c r="F88" s="31" t="str">
        <x:v>默认计分条件</x:v>
      </x:c>
      <x:c r="G88" s="39" t="str">
        <x:v>player_team_previous_wins_at_most</x:v>
      </x:c>
      <x:c r="H88" s="39" t="str">
        <x:v>多诺万·米切尔所在球队上赛季不超过55胜</x:v>
      </x:c>
      <x:c r="I88" s="39" t="str">
        <x:v>否</x:v>
      </x:c>
      <x:c r="J88" s="39" t="n">
        <x:v>1</x:v>
      </x:c>
      <x:c r="K88" s="39" t="str">
        <x:v>55</x:v>
      </x:c>
      <x:c r="L88" s="39" t="str">
        <x:v>准备恰好达到与低于阈值的两组阵容/战绩</x:v>
      </x:c>
      <x:c r="M88" s="39" t="str">
        <x:v>满足后增加1分；仅差1分时可出现广告解锁</x:v>
      </x:c>
      <x:c r="N88" s="38" t="str"/>
      <x:c r="O88" s="38" t="str"/>
      <x:c r="P88" s="43" t="str">
        <x:f>IF(N88="","",IFERROR(O88/N88,""))</x:f>
      </x:c>
      <x:c r="Q88" s="38" t="str">
        <x:v>未评估</x:v>
      </x:c>
      <x:c r="R88" s="38" t="str"/>
      <x:c r="S88" s="38" t="str"/>
    </x:row>
    <x:row r="89" ht="42" customHeight="1">
      <x:c r="A89" s="31" t="str">
        <x:v>COND-088</x:v>
      </x:c>
      <x:c r="B89" s="31" t="n">
        <x:v>2023</x:v>
      </x:c>
      <x:c r="C89" s="31" t="str">
        <x:v>durant_phoenix</x:v>
      </x:c>
      <x:c r="D89" s="31" t="str">
        <x:v>太阳组成豪华进攻组</x:v>
      </x:c>
      <x:c r="E89" s="31" t="str">
        <x:v>无分支</x:v>
      </x:c>
      <x:c r="F89" s="31" t="str">
        <x:v>默认计分条件</x:v>
      </x:c>
      <x:c r="G89" s="39" t="str">
        <x:v>team_strategy_in</x:v>
      </x:c>
      <x:c r="H89" s="39" t="str">
        <x:v>菲尼克斯球队方向为争冠、季后赛竞争或观望调整</x:v>
      </x:c>
      <x:c r="I89" s="39" t="str">
        <x:v>否</x:v>
      </x:c>
      <x:c r="J89" s="39" t="n">
        <x:v>1</x:v>
      </x:c>
      <x:c r="K89" s="39" t="str">
        <x:v>contender/playoff/retooling；菲尼克斯</x:v>
      </x:c>
      <x:c r="L89" s="39" t="str">
        <x:v>准备恰好达到与低于阈值的两组阵容/战绩</x:v>
      </x:c>
      <x:c r="M89" s="39" t="str">
        <x:v>满足后增加1分；仅差1分时可出现广告解锁</x:v>
      </x:c>
      <x:c r="N89" s="38" t="str"/>
      <x:c r="O89" s="38" t="str"/>
      <x:c r="P89" s="43" t="str">
        <x:f>IF(N89="","",IFERROR(O89/N89,""))</x:f>
      </x:c>
      <x:c r="Q89" s="38" t="str">
        <x:v>未评估</x:v>
      </x:c>
      <x:c r="R89" s="38" t="str"/>
      <x:c r="S89" s="38" t="str"/>
    </x:row>
    <x:row r="90" ht="42" customHeight="1">
      <x:c r="A90" s="31" t="str">
        <x:v>COND-089</x:v>
      </x:c>
      <x:c r="B90" s="31" t="n">
        <x:v>2023</x:v>
      </x:c>
      <x:c r="C90" s="31" t="str">
        <x:v>durant_phoenix</x:v>
      </x:c>
      <x:c r="D90" s="31" t="str">
        <x:v>太阳组成豪华进攻组</x:v>
      </x:c>
      <x:c r="E90" s="31" t="str">
        <x:v>无分支</x:v>
      </x:c>
      <x:c r="F90" s="31" t="str">
        <x:v>默认计分条件</x:v>
      </x:c>
      <x:c r="G90" s="39" t="str">
        <x:v>team_max_elite_players</x:v>
      </x:c>
      <x:c r="H90" s="39" t="str">
        <x:v>菲尼克斯88+综评球员不超过2人</x:v>
      </x:c>
      <x:c r="I90" s="39" t="str">
        <x:v>否</x:v>
      </x:c>
      <x:c r="J90" s="39" t="n">
        <x:v>1</x:v>
      </x:c>
      <x:c r="K90" s="39" t="str">
        <x:v>2；OVR≥88；菲尼克斯</x:v>
      </x:c>
      <x:c r="L90" s="39" t="str">
        <x:v>准备恰好达到与低于阈值的两组阵容/战绩</x:v>
      </x:c>
      <x:c r="M90" s="39" t="str">
        <x:v>满足后增加1分；仅差1分时可出现广告解锁</x:v>
      </x:c>
      <x:c r="N90" s="38" t="str"/>
      <x:c r="O90" s="38" t="str"/>
      <x:c r="P90" s="43" t="str">
        <x:f>IF(N90="","",IFERROR(O90/N90,""))</x:f>
      </x:c>
      <x:c r="Q90" s="38" t="str">
        <x:v>未评估</x:v>
      </x:c>
      <x:c r="R90" s="38" t="str"/>
      <x:c r="S90" s="38" t="str"/>
    </x:row>
    <x:row r="91" ht="42" customHeight="1">
      <x:c r="A91" s="31" t="str">
        <x:v>COND-090</x:v>
      </x:c>
      <x:c r="B91" s="31" t="n">
        <x:v>2023</x:v>
      </x:c>
      <x:c r="C91" s="31" t="str">
        <x:v>durant_phoenix</x:v>
      </x:c>
      <x:c r="D91" s="31" t="str">
        <x:v>太阳组成豪华进攻组</x:v>
      </x:c>
      <x:c r="E91" s="31" t="str">
        <x:v>无分支</x:v>
      </x:c>
      <x:c r="F91" s="31" t="str">
        <x:v>默认计分条件</x:v>
      </x:c>
      <x:c r="G91" s="39" t="str">
        <x:v>player_team_previous_wins_at_most</x:v>
      </x:c>
      <x:c r="H91" s="39" t="str">
        <x:v>凯文·杜兰特所在球队上赛季不超过55胜</x:v>
      </x:c>
      <x:c r="I91" s="39" t="str">
        <x:v>否</x:v>
      </x:c>
      <x:c r="J91" s="39" t="n">
        <x:v>1</x:v>
      </x:c>
      <x:c r="K91" s="39" t="str">
        <x:v>55</x:v>
      </x:c>
      <x:c r="L91" s="39" t="str">
        <x:v>准备恰好达到与低于阈值的两组阵容/战绩</x:v>
      </x:c>
      <x:c r="M91" s="39" t="str">
        <x:v>满足后增加1分；仅差1分时可出现广告解锁</x:v>
      </x:c>
      <x:c r="N91" s="38" t="str"/>
      <x:c r="O91" s="38" t="str"/>
      <x:c r="P91" s="43" t="str">
        <x:f>IF(N91="","",IFERROR(O91/N91,""))</x:f>
      </x:c>
      <x:c r="Q91" s="38" t="str">
        <x:v>未评估</x:v>
      </x:c>
      <x:c r="R91" s="38" t="str"/>
      <x:c r="S91" s="38" t="str"/>
    </x:row>
    <x:row r="92" ht="42" customHeight="1">
      <x:c r="A92" s="31" t="str">
        <x:v>COND-091</x:v>
      </x:c>
      <x:c r="B92" s="31" t="n">
        <x:v>2023</x:v>
      </x:c>
      <x:c r="C92" s="31" t="str">
        <x:v>lillard_bucks</x:v>
      </x:c>
      <x:c r="D92" s="31" t="str">
        <x:v>利拉德联手字母哥</x:v>
      </x:c>
      <x:c r="E92" s="31" t="str">
        <x:v>无分支</x:v>
      </x:c>
      <x:c r="F92" s="31" t="str">
        <x:v>事件条件</x:v>
      </x:c>
      <x:c r="G92" s="39" t="str">
        <x:v>player_on_team</x:v>
      </x:c>
      <x:c r="H92" s="39" t="str">
        <x:v>扬尼斯·阿德托昆博效力于密尔沃基雄鹿</x:v>
      </x:c>
      <x:c r="I92" s="39" t="str">
        <x:v>是</x:v>
      </x:c>
      <x:c r="J92" s="39" t="n">
        <x:v>0</x:v>
      </x:c>
      <x:c r="K92" s="39" t="str">
        <x:v>密尔沃基</x:v>
      </x:c>
      <x:c r="L92" s="39" t="str">
        <x:v>分别验证满足与不满足两种状态</x:v>
      </x:c>
      <x:c r="M92" s="39" t="str">
        <x:v>不满足时不可触发；满足后再检查计分条件</x:v>
      </x:c>
      <x:c r="N92" s="38" t="str"/>
      <x:c r="O92" s="38" t="str"/>
      <x:c r="P92" s="43" t="str">
        <x:f>IF(N92="","",IFERROR(O92/N92,""))</x:f>
      </x:c>
      <x:c r="Q92" s="38" t="str">
        <x:v>未评估</x:v>
      </x:c>
      <x:c r="R92" s="38" t="str"/>
      <x:c r="S92" s="38" t="str"/>
    </x:row>
    <x:row r="93" ht="42" customHeight="1">
      <x:c r="A93" s="31" t="str">
        <x:v>COND-092</x:v>
      </x:c>
      <x:c r="B93" s="31" t="n">
        <x:v>2023</x:v>
      </x:c>
      <x:c r="C93" s="31" t="str">
        <x:v>lillard_bucks</x:v>
      </x:c>
      <x:c r="D93" s="31" t="str">
        <x:v>利拉德联手字母哥</x:v>
      </x:c>
      <x:c r="E93" s="31" t="str">
        <x:v>无分支</x:v>
      </x:c>
      <x:c r="F93" s="31" t="str">
        <x:v>默认计分条件</x:v>
      </x:c>
      <x:c r="G93" s="39" t="str">
        <x:v>team_strategy_in</x:v>
      </x:c>
      <x:c r="H93" s="39" t="str">
        <x:v>密尔沃基球队方向为争冠、季后赛竞争或观望调整</x:v>
      </x:c>
      <x:c r="I93" s="39" t="str">
        <x:v>否</x:v>
      </x:c>
      <x:c r="J93" s="39" t="n">
        <x:v>1</x:v>
      </x:c>
      <x:c r="K93" s="39" t="str">
        <x:v>contender/playoff/retooling；密尔沃基</x:v>
      </x:c>
      <x:c r="L93" s="39" t="str">
        <x:v>准备恰好达到与低于阈值的两组阵容/战绩</x:v>
      </x:c>
      <x:c r="M93" s="39" t="str">
        <x:v>满足后增加1分；仅差1分时可出现广告解锁</x:v>
      </x:c>
      <x:c r="N93" s="38" t="str"/>
      <x:c r="O93" s="38" t="str"/>
      <x:c r="P93" s="43" t="str">
        <x:f>IF(N93="","",IFERROR(O93/N93,""))</x:f>
      </x:c>
      <x:c r="Q93" s="38" t="str">
        <x:v>未评估</x:v>
      </x:c>
      <x:c r="R93" s="38" t="str"/>
      <x:c r="S93" s="38" t="str"/>
    </x:row>
    <x:row r="94" ht="42" customHeight="1">
      <x:c r="A94" s="31" t="str">
        <x:v>COND-093</x:v>
      </x:c>
      <x:c r="B94" s="31" t="n">
        <x:v>2023</x:v>
      </x:c>
      <x:c r="C94" s="31" t="str">
        <x:v>lillard_bucks</x:v>
      </x:c>
      <x:c r="D94" s="31" t="str">
        <x:v>利拉德联手字母哥</x:v>
      </x:c>
      <x:c r="E94" s="31" t="str">
        <x:v>无分支</x:v>
      </x:c>
      <x:c r="F94" s="31" t="str">
        <x:v>默认计分条件</x:v>
      </x:c>
      <x:c r="G94" s="39" t="str">
        <x:v>team_max_elite_players</x:v>
      </x:c>
      <x:c r="H94" s="39" t="str">
        <x:v>密尔沃基88+综评球员不超过2人</x:v>
      </x:c>
      <x:c r="I94" s="39" t="str">
        <x:v>否</x:v>
      </x:c>
      <x:c r="J94" s="39" t="n">
        <x:v>1</x:v>
      </x:c>
      <x:c r="K94" s="39" t="str">
        <x:v>2；OVR≥88；密尔沃基</x:v>
      </x:c>
      <x:c r="L94" s="39" t="str">
        <x:v>准备恰好达到与低于阈值的两组阵容/战绩</x:v>
      </x:c>
      <x:c r="M94" s="39" t="str">
        <x:v>满足后增加1分；仅差1分时可出现广告解锁</x:v>
      </x:c>
      <x:c r="N94" s="38" t="str"/>
      <x:c r="O94" s="38" t="str"/>
      <x:c r="P94" s="43" t="str">
        <x:f>IF(N94="","",IFERROR(O94/N94,""))</x:f>
      </x:c>
      <x:c r="Q94" s="38" t="str">
        <x:v>未评估</x:v>
      </x:c>
      <x:c r="R94" s="38" t="str"/>
      <x:c r="S94" s="38" t="str"/>
    </x:row>
    <x:row r="95" ht="42" customHeight="1">
      <x:c r="A95" s="31" t="str">
        <x:v>COND-094</x:v>
      </x:c>
      <x:c r="B95" s="31" t="n">
        <x:v>2023</x:v>
      </x:c>
      <x:c r="C95" s="31" t="str">
        <x:v>lillard_bucks</x:v>
      </x:c>
      <x:c r="D95" s="31" t="str">
        <x:v>利拉德联手字母哥</x:v>
      </x:c>
      <x:c r="E95" s="31" t="str">
        <x:v>无分支</x:v>
      </x:c>
      <x:c r="F95" s="31" t="str">
        <x:v>默认计分条件</x:v>
      </x:c>
      <x:c r="G95" s="39" t="str">
        <x:v>player_team_previous_wins_at_most</x:v>
      </x:c>
      <x:c r="H95" s="39" t="str">
        <x:v>达米安·利拉德所在球队上赛季不超过55胜</x:v>
      </x:c>
      <x:c r="I95" s="39" t="str">
        <x:v>否</x:v>
      </x:c>
      <x:c r="J95" s="39" t="n">
        <x:v>1</x:v>
      </x:c>
      <x:c r="K95" s="39" t="str">
        <x:v>55</x:v>
      </x:c>
      <x:c r="L95" s="39" t="str">
        <x:v>准备恰好达到与低于阈值的两组阵容/战绩</x:v>
      </x:c>
      <x:c r="M95" s="39" t="str">
        <x:v>满足后增加1分；仅差1分时可出现广告解锁</x:v>
      </x:c>
      <x:c r="N95" s="38" t="str"/>
      <x:c r="O95" s="38" t="str"/>
      <x:c r="P95" s="43" t="str">
        <x:f>IF(N95="","",IFERROR(O95/N95,""))</x:f>
      </x:c>
      <x:c r="Q95" s="38" t="str">
        <x:v>未评估</x:v>
      </x:c>
      <x:c r="R95" s="38" t="str"/>
      <x:c r="S95" s="38" t="str"/>
    </x:row>
    <x:row r="96" ht="42" customHeight="1">
      <x:c r="A96" s="31" t="str">
        <x:v>COND-095</x:v>
      </x:c>
      <x:c r="B96" s="31" t="n">
        <x:v>2023</x:v>
      </x:c>
      <x:c r="C96" s="31" t="str">
        <x:v>harden_clippers</x:v>
      </x:c>
      <x:c r="D96" s="31" t="str">
        <x:v>哈登回到家乡</x:v>
      </x:c>
      <x:c r="E96" s="31" t="str">
        <x:v>无分支</x:v>
      </x:c>
      <x:c r="F96" s="31" t="str">
        <x:v>默认计分条件</x:v>
      </x:c>
      <x:c r="G96" s="39" t="str">
        <x:v>team_strategy_in</x:v>
      </x:c>
      <x:c r="H96" s="39" t="str">
        <x:v>洛杉矶快船球队方向为争冠、季后赛竞争或观望调整</x:v>
      </x:c>
      <x:c r="I96" s="39" t="str">
        <x:v>否</x:v>
      </x:c>
      <x:c r="J96" s="39" t="n">
        <x:v>1</x:v>
      </x:c>
      <x:c r="K96" s="39" t="str">
        <x:v>contender/playoff/retooling；洛杉矶快船</x:v>
      </x:c>
      <x:c r="L96" s="39" t="str">
        <x:v>准备恰好达到与低于阈值的两组阵容/战绩</x:v>
      </x:c>
      <x:c r="M96" s="39" t="str">
        <x:v>满足后增加1分；仅差1分时可出现广告解锁</x:v>
      </x:c>
      <x:c r="N96" s="38" t="str"/>
      <x:c r="O96" s="38" t="str"/>
      <x:c r="P96" s="43" t="str">
        <x:f>IF(N96="","",IFERROR(O96/N96,""))</x:f>
      </x:c>
      <x:c r="Q96" s="38" t="str">
        <x:v>未评估</x:v>
      </x:c>
      <x:c r="R96" s="38" t="str"/>
      <x:c r="S96" s="38" t="str"/>
    </x:row>
    <x:row r="97" ht="42" customHeight="1">
      <x:c r="A97" s="31" t="str">
        <x:v>COND-096</x:v>
      </x:c>
      <x:c r="B97" s="31" t="n">
        <x:v>2023</x:v>
      </x:c>
      <x:c r="C97" s="31" t="str">
        <x:v>harden_clippers</x:v>
      </x:c>
      <x:c r="D97" s="31" t="str">
        <x:v>哈登回到家乡</x:v>
      </x:c>
      <x:c r="E97" s="31" t="str">
        <x:v>无分支</x:v>
      </x:c>
      <x:c r="F97" s="31" t="str">
        <x:v>默认计分条件</x:v>
      </x:c>
      <x:c r="G97" s="39" t="str">
        <x:v>team_max_elite_players</x:v>
      </x:c>
      <x:c r="H97" s="39" t="str">
        <x:v>洛杉矶快船88+综评球员不超过2人</x:v>
      </x:c>
      <x:c r="I97" s="39" t="str">
        <x:v>否</x:v>
      </x:c>
      <x:c r="J97" s="39" t="n">
        <x:v>1</x:v>
      </x:c>
      <x:c r="K97" s="39" t="str">
        <x:v>2；OVR≥88；洛杉矶快船</x:v>
      </x:c>
      <x:c r="L97" s="39" t="str">
        <x:v>准备恰好达到与低于阈值的两组阵容/战绩</x:v>
      </x:c>
      <x:c r="M97" s="39" t="str">
        <x:v>满足后增加1分；仅差1分时可出现广告解锁</x:v>
      </x:c>
      <x:c r="N97" s="38" t="str"/>
      <x:c r="O97" s="38" t="str"/>
      <x:c r="P97" s="43" t="str">
        <x:f>IF(N97="","",IFERROR(O97/N97,""))</x:f>
      </x:c>
      <x:c r="Q97" s="38" t="str">
        <x:v>未评估</x:v>
      </x:c>
      <x:c r="R97" s="38" t="str"/>
      <x:c r="S97" s="38" t="str"/>
    </x:row>
    <x:row r="98" ht="42" customHeight="1">
      <x:c r="A98" s="31" t="str">
        <x:v>COND-097</x:v>
      </x:c>
      <x:c r="B98" s="31" t="n">
        <x:v>2023</x:v>
      </x:c>
      <x:c r="C98" s="31" t="str">
        <x:v>harden_clippers</x:v>
      </x:c>
      <x:c r="D98" s="31" t="str">
        <x:v>哈登回到家乡</x:v>
      </x:c>
      <x:c r="E98" s="31" t="str">
        <x:v>无分支</x:v>
      </x:c>
      <x:c r="F98" s="31" t="str">
        <x:v>默认计分条件</x:v>
      </x:c>
      <x:c r="G98" s="39" t="str">
        <x:v>player_team_previous_wins_at_most</x:v>
      </x:c>
      <x:c r="H98" s="39" t="str">
        <x:v>詹姆斯·哈登所在球队上赛季不超过55胜</x:v>
      </x:c>
      <x:c r="I98" s="39" t="str">
        <x:v>否</x:v>
      </x:c>
      <x:c r="J98" s="39" t="n">
        <x:v>1</x:v>
      </x:c>
      <x:c r="K98" s="39" t="str">
        <x:v>55</x:v>
      </x:c>
      <x:c r="L98" s="39" t="str">
        <x:v>准备恰好达到与低于阈值的两组阵容/战绩</x:v>
      </x:c>
      <x:c r="M98" s="39" t="str">
        <x:v>满足后增加1分；仅差1分时可出现广告解锁</x:v>
      </x:c>
      <x:c r="N98" s="38" t="str"/>
      <x:c r="O98" s="38" t="str"/>
      <x:c r="P98" s="43" t="str">
        <x:f>IF(N98="","",IFERROR(O98/N98,""))</x:f>
      </x:c>
      <x:c r="Q98" s="38" t="str">
        <x:v>未评估</x:v>
      </x:c>
      <x:c r="R98" s="38" t="str"/>
      <x:c r="S98" s="38" t="str"/>
    </x:row>
    <x:row r="99" ht="42" customHeight="1">
      <x:c r="A99" s="31" t="str">
        <x:v>COND-098</x:v>
      </x:c>
      <x:c r="B99" s="31" t="n">
        <x:v>2024</x:v>
      </x:c>
      <x:c r="C99" s="31" t="str">
        <x:v>klay_leaves_warriors</x:v>
      </x:c>
      <x:c r="D99" s="31" t="str">
        <x:v>汤普森告别金州</x:v>
      </x:c>
      <x:c r="E99" s="31" t="str">
        <x:v>无分支</x:v>
      </x:c>
      <x:c r="F99" s="31" t="str">
        <x:v>事件条件</x:v>
      </x:c>
      <x:c r="G99" s="39" t="str">
        <x:v>player_on_team</x:v>
      </x:c>
      <x:c r="H99" s="39" t="str">
        <x:v>克莱·汤普森效力于金州勇士</x:v>
      </x:c>
      <x:c r="I99" s="39" t="str">
        <x:v>是</x:v>
      </x:c>
      <x:c r="J99" s="39" t="n">
        <x:v>0</x:v>
      </x:c>
      <x:c r="K99" s="39" t="str">
        <x:v>金州</x:v>
      </x:c>
      <x:c r="L99" s="39" t="str">
        <x:v>分别验证满足与不满足两种状态</x:v>
      </x:c>
      <x:c r="M99" s="39" t="str">
        <x:v>不满足时不可触发；满足后再检查计分条件</x:v>
      </x:c>
      <x:c r="N99" s="38" t="str"/>
      <x:c r="O99" s="38" t="str"/>
      <x:c r="P99" s="43" t="str">
        <x:f>IF(N99="","",IFERROR(O99/N99,""))</x:f>
      </x:c>
      <x:c r="Q99" s="38" t="str">
        <x:v>未评估</x:v>
      </x:c>
      <x:c r="R99" s="38" t="str"/>
      <x:c r="S99" s="38" t="str"/>
    </x:row>
    <x:row r="100" ht="42" customHeight="1">
      <x:c r="A100" s="31" t="str">
        <x:v>COND-099</x:v>
      </x:c>
      <x:c r="B100" s="31" t="n">
        <x:v>2024</x:v>
      </x:c>
      <x:c r="C100" s="31" t="str">
        <x:v>klay_leaves_warriors</x:v>
      </x:c>
      <x:c r="D100" s="31" t="str">
        <x:v>汤普森告别金州</x:v>
      </x:c>
      <x:c r="E100" s="31" t="str">
        <x:v>无分支</x:v>
      </x:c>
      <x:c r="F100" s="31" t="str">
        <x:v>事件条件</x:v>
      </x:c>
      <x:c r="G100" s="39" t="str">
        <x:v>team_strategy_in</x:v>
      </x:c>
      <x:c r="H100" s="39" t="str">
        <x:v>达拉斯球队方向为争冠或季后赛竞争（+1）</x:v>
      </x:c>
      <x:c r="I100" s="39" t="str">
        <x:v>否</x:v>
      </x:c>
      <x:c r="J100" s="39" t="n">
        <x:v>1</x:v>
      </x:c>
      <x:c r="K100" s="39" t="str">
        <x:v>contender/playoff；达拉斯</x:v>
      </x:c>
      <x:c r="L100" s="39" t="str">
        <x:v>准备恰好达到与低于阈值的两组阵容/战绩</x:v>
      </x:c>
      <x:c r="M100" s="39" t="str">
        <x:v>满足后增加1分；仅差1分时可出现广告解锁</x:v>
      </x:c>
      <x:c r="N100" s="38" t="str"/>
      <x:c r="O100" s="38" t="str"/>
      <x:c r="P100" s="43" t="str">
        <x:f>IF(N100="","",IFERROR(O100/N100,""))</x:f>
      </x:c>
      <x:c r="Q100" s="38" t="str">
        <x:v>未评估</x:v>
      </x:c>
      <x:c r="R100" s="38" t="str"/>
      <x:c r="S100" s="38" t="str"/>
    </x:row>
    <x:row r="101" ht="42" customHeight="1">
      <x:c r="A101" s="31" t="str">
        <x:v>COND-100</x:v>
      </x:c>
      <x:c r="B101" s="31" t="n">
        <x:v>2024</x:v>
      </x:c>
      <x:c r="C101" s="31" t="str">
        <x:v>klay_leaves_warriors</x:v>
      </x:c>
      <x:c r="D101" s="31" t="str">
        <x:v>汤普森告别金州</x:v>
      </x:c>
      <x:c r="E101" s="31" t="str">
        <x:v>无分支</x:v>
      </x:c>
      <x:c r="F101" s="31" t="str">
        <x:v>事件条件</x:v>
      </x:c>
      <x:c r="G101" s="39" t="str">
        <x:v>team_previous_wins_at_least</x:v>
      </x:c>
      <x:c r="H101" s="39" t="str">
        <x:v>达拉斯上赛季至少45胜（+1）</x:v>
      </x:c>
      <x:c r="I101" s="39" t="str">
        <x:v>否</x:v>
      </x:c>
      <x:c r="J101" s="39" t="n">
        <x:v>1</x:v>
      </x:c>
      <x:c r="K101" s="39" t="str">
        <x:v>45；达拉斯</x:v>
      </x:c>
      <x:c r="L101" s="39" t="str">
        <x:v>准备恰好达到与低于阈值的两组阵容/战绩</x:v>
      </x:c>
      <x:c r="M101" s="39" t="str">
        <x:v>满足后增加1分；仅差1分时可出现广告解锁</x:v>
      </x:c>
      <x:c r="N101" s="38" t="str"/>
      <x:c r="O101" s="38" t="str"/>
      <x:c r="P101" s="43" t="str">
        <x:f>IF(N101="","",IFERROR(O101/N101,""))</x:f>
      </x:c>
      <x:c r="Q101" s="38" t="str">
        <x:v>未评估</x:v>
      </x:c>
      <x:c r="R101" s="38" t="str"/>
      <x:c r="S101" s="38" t="str"/>
    </x:row>
    <x:row r="102" ht="42" customHeight="1">
      <x:c r="A102" s="31" t="str">
        <x:v>COND-101</x:v>
      </x:c>
      <x:c r="B102" s="31" t="n">
        <x:v>2024</x:v>
      </x:c>
      <x:c r="C102" s="31" t="str">
        <x:v>klay_leaves_warriors</x:v>
      </x:c>
      <x:c r="D102" s="31" t="str">
        <x:v>汤普森告别金州</x:v>
      </x:c>
      <x:c r="E102" s="31" t="str">
        <x:v>无分支</x:v>
      </x:c>
      <x:c r="F102" s="31" t="str">
        <x:v>事件条件</x:v>
      </x:c>
      <x:c r="G102" s="39" t="str">
        <x:v>team_max_elite_players</x:v>
      </x:c>
      <x:c r="H102" s="39" t="str">
        <x:v>达拉斯88+综评球员不超过2人（+1）</x:v>
      </x:c>
      <x:c r="I102" s="39" t="str">
        <x:v>否</x:v>
      </x:c>
      <x:c r="J102" s="39" t="n">
        <x:v>1</x:v>
      </x:c>
      <x:c r="K102" s="39" t="str">
        <x:v>2；OVR≥88；达拉斯</x:v>
      </x:c>
      <x:c r="L102" s="39" t="str">
        <x:v>准备恰好达到与低于阈值的两组阵容/战绩</x:v>
      </x:c>
      <x:c r="M102" s="39" t="str">
        <x:v>满足后增加1分；仅差1分时可出现广告解锁</x:v>
      </x:c>
      <x:c r="N102" s="38" t="str"/>
      <x:c r="O102" s="38" t="str"/>
      <x:c r="P102" s="43" t="str">
        <x:f>IF(N102="","",IFERROR(O102/N102,""))</x:f>
      </x:c>
      <x:c r="Q102" s="38" t="str">
        <x:v>未评估</x:v>
      </x:c>
      <x:c r="R102" s="38" t="str"/>
      <x:c r="S102" s="38" t="str"/>
    </x:row>
    <x:row r="103" ht="42" customHeight="1">
      <x:c r="A103" s="31" t="str">
        <x:v>COND-102</x:v>
      </x:c>
      <x:c r="B103" s="31" t="n">
        <x:v>2025</x:v>
      </x:c>
      <x:c r="C103" s="31" t="str">
        <x:v>luka_davis_swap</x:v>
      </x:c>
      <x:c r="D103" s="31" t="str">
        <x:v>洛城与达拉斯的世纪互换</x:v>
      </x:c>
      <x:c r="E103" s="31" t="str">
        <x:v>无分支</x:v>
      </x:c>
      <x:c r="F103" s="31" t="str">
        <x:v>事件条件</x:v>
      </x:c>
      <x:c r="G103" s="39" t="str">
        <x:v>player_on_team</x:v>
      </x:c>
      <x:c r="H103" s="39" t="str">
        <x:v>卢卡·东契奇效力于达拉斯独行侠</x:v>
      </x:c>
      <x:c r="I103" s="39" t="str">
        <x:v>是</x:v>
      </x:c>
      <x:c r="J103" s="39" t="n">
        <x:v>0</x:v>
      </x:c>
      <x:c r="K103" s="39" t="str">
        <x:v>达拉斯</x:v>
      </x:c>
      <x:c r="L103" s="39" t="str">
        <x:v>分别验证满足与不满足两种状态</x:v>
      </x:c>
      <x:c r="M103" s="39" t="str">
        <x:v>不满足时不可触发；满足后再检查计分条件</x:v>
      </x:c>
      <x:c r="N103" s="38" t="str"/>
      <x:c r="O103" s="38" t="str"/>
      <x:c r="P103" s="43" t="str">
        <x:f>IF(N103="","",IFERROR(O103/N103,""))</x:f>
      </x:c>
      <x:c r="Q103" s="38" t="str">
        <x:v>未评估</x:v>
      </x:c>
      <x:c r="R103" s="38" t="str"/>
      <x:c r="S103" s="38" t="str"/>
    </x:row>
    <x:row r="104" ht="42" customHeight="1">
      <x:c r="A104" s="31" t="str">
        <x:v>COND-103</x:v>
      </x:c>
      <x:c r="B104" s="31" t="n">
        <x:v>2025</x:v>
      </x:c>
      <x:c r="C104" s="31" t="str">
        <x:v>luka_davis_swap</x:v>
      </x:c>
      <x:c r="D104" s="31" t="str">
        <x:v>洛城与达拉斯的世纪互换</x:v>
      </x:c>
      <x:c r="E104" s="31" t="str">
        <x:v>无分支</x:v>
      </x:c>
      <x:c r="F104" s="31" t="str">
        <x:v>事件条件</x:v>
      </x:c>
      <x:c r="G104" s="39" t="str">
        <x:v>player_on_team</x:v>
      </x:c>
      <x:c r="H104" s="39" t="str">
        <x:v>安东尼·戴维斯效力于洛杉矶湖人</x:v>
      </x:c>
      <x:c r="I104" s="39" t="str">
        <x:v>是</x:v>
      </x:c>
      <x:c r="J104" s="39" t="n">
        <x:v>0</x:v>
      </x:c>
      <x:c r="K104" s="39" t="str">
        <x:v>洛杉矶湖人</x:v>
      </x:c>
      <x:c r="L104" s="39" t="str">
        <x:v>分别验证满足与不满足两种状态</x:v>
      </x:c>
      <x:c r="M104" s="39" t="str">
        <x:v>不满足时不可触发；满足后再检查计分条件</x:v>
      </x:c>
      <x:c r="N104" s="38" t="str"/>
      <x:c r="O104" s="38" t="str"/>
      <x:c r="P104" s="43" t="str">
        <x:f>IF(N104="","",IFERROR(O104/N104,""))</x:f>
      </x:c>
      <x:c r="Q104" s="38" t="str">
        <x:v>未评估</x:v>
      </x:c>
      <x:c r="R104" s="38" t="str"/>
      <x:c r="S104" s="38" t="str"/>
    </x:row>
    <x:row r="105" ht="42" customHeight="1">
      <x:c r="A105" s="31" t="str">
        <x:v>COND-104</x:v>
      </x:c>
      <x:c r="B105" s="31" t="n">
        <x:v>2025</x:v>
      </x:c>
      <x:c r="C105" s="31" t="str">
        <x:v>luka_davis_swap</x:v>
      </x:c>
      <x:c r="D105" s="31" t="str">
        <x:v>洛城与达拉斯的世纪互换</x:v>
      </x:c>
      <x:c r="E105" s="31" t="str">
        <x:v>无分支</x:v>
      </x:c>
      <x:c r="F105" s="31" t="str">
        <x:v>事件条件</x:v>
      </x:c>
      <x:c r="G105" s="39" t="str">
        <x:v>team_strategy_in</x:v>
      </x:c>
      <x:c r="H105" s="39" t="str">
        <x:v>洛杉矶湖人球队方向为争冠或季后赛竞争（+1）</x:v>
      </x:c>
      <x:c r="I105" s="39" t="str">
        <x:v>否</x:v>
      </x:c>
      <x:c r="J105" s="39" t="n">
        <x:v>1</x:v>
      </x:c>
      <x:c r="K105" s="39" t="str">
        <x:v>contender/playoff；洛杉矶湖人</x:v>
      </x:c>
      <x:c r="L105" s="39" t="str">
        <x:v>准备恰好达到与低于阈值的两组阵容/战绩</x:v>
      </x:c>
      <x:c r="M105" s="39" t="str">
        <x:v>满足后增加1分；仅差1分时可出现广告解锁</x:v>
      </x:c>
      <x:c r="N105" s="38" t="str"/>
      <x:c r="O105" s="38" t="str"/>
      <x:c r="P105" s="43" t="str">
        <x:f>IF(N105="","",IFERROR(O105/N105,""))</x:f>
      </x:c>
      <x:c r="Q105" s="38" t="str">
        <x:v>未评估</x:v>
      </x:c>
      <x:c r="R105" s="38" t="str"/>
      <x:c r="S105" s="38" t="str"/>
    </x:row>
    <x:row r="106" ht="42" customHeight="1">
      <x:c r="A106" s="31" t="str">
        <x:v>COND-105</x:v>
      </x:c>
      <x:c r="B106" s="31" t="n">
        <x:v>2025</x:v>
      </x:c>
      <x:c r="C106" s="31" t="str">
        <x:v>luka_davis_swap</x:v>
      </x:c>
      <x:c r="D106" s="31" t="str">
        <x:v>洛城与达拉斯的世纪互换</x:v>
      </x:c>
      <x:c r="E106" s="31" t="str">
        <x:v>无分支</x:v>
      </x:c>
      <x:c r="F106" s="31" t="str">
        <x:v>事件条件</x:v>
      </x:c>
      <x:c r="G106" s="39" t="str">
        <x:v>team_strategy_in</x:v>
      </x:c>
      <x:c r="H106" s="39" t="str">
        <x:v>达拉斯球队方向为争冠或季后赛竞争（+1）</x:v>
      </x:c>
      <x:c r="I106" s="39" t="str">
        <x:v>否</x:v>
      </x:c>
      <x:c r="J106" s="39" t="n">
        <x:v>1</x:v>
      </x:c>
      <x:c r="K106" s="39" t="str">
        <x:v>contender/playoff；达拉斯</x:v>
      </x:c>
      <x:c r="L106" s="39" t="str">
        <x:v>准备恰好达到与低于阈值的两组阵容/战绩</x:v>
      </x:c>
      <x:c r="M106" s="39" t="str">
        <x:v>满足后增加1分；仅差1分时可出现广告解锁</x:v>
      </x:c>
      <x:c r="N106" s="38" t="str"/>
      <x:c r="O106" s="38" t="str"/>
      <x:c r="P106" s="43" t="str">
        <x:f>IF(N106="","",IFERROR(O106/N106,""))</x:f>
      </x:c>
      <x:c r="Q106" s="38" t="str">
        <x:v>未评估</x:v>
      </x:c>
      <x:c r="R106" s="38" t="str"/>
      <x:c r="S106" s="38" t="str"/>
    </x:row>
    <x:row r="107" ht="42" customHeight="1">
      <x:c r="A107" s="31" t="str">
        <x:v>COND-106</x:v>
      </x:c>
      <x:c r="B107" s="31" t="n">
        <x:v>2025</x:v>
      </x:c>
      <x:c r="C107" s="31" t="str">
        <x:v>luka_davis_swap</x:v>
      </x:c>
      <x:c r="D107" s="31" t="str">
        <x:v>洛城与达拉斯的世纪互换</x:v>
      </x:c>
      <x:c r="E107" s="31" t="str">
        <x:v>无分支</x:v>
      </x:c>
      <x:c r="F107" s="31" t="str">
        <x:v>事件条件</x:v>
      </x:c>
      <x:c r="G107" s="39" t="str">
        <x:v>player_team_previous_season_without_title</x:v>
      </x:c>
      <x:c r="H107" s="39" t="str">
        <x:v>卢卡·东契奇所在球队上赛季未夺冠（+1）</x:v>
      </x:c>
      <x:c r="I107" s="39" t="str">
        <x:v>否</x:v>
      </x:c>
      <x:c r="J107" s="39" t="n">
        <x:v>1</x:v>
      </x:c>
      <x:c r="K107" s="39" t="str"/>
      <x:c r="L107" s="39" t="str">
        <x:v>准备恰好达到与低于阈值的两组阵容/战绩</x:v>
      </x:c>
      <x:c r="M107" s="39" t="str">
        <x:v>满足后增加1分；仅差1分时可出现广告解锁</x:v>
      </x:c>
      <x:c r="N107" s="38" t="str"/>
      <x:c r="O107" s="38" t="str"/>
      <x:c r="P107" s="43" t="str">
        <x:f>IF(N107="","",IFERROR(O107/N107,""))</x:f>
      </x:c>
      <x:c r="Q107" s="38" t="str">
        <x:v>未评估</x:v>
      </x:c>
      <x:c r="R107" s="38" t="str"/>
      <x:c r="S107" s="38" t="str"/>
    </x:row>
  </x:sheetData>
  <x:conditionalFormatting sqref="Q2:Q107">
    <x:cfRule type="containsText" dxfId="3" priority="1" operator="containsText" text="合理"/>
    <x:cfRule type="containsText" dxfId="4" priority="2" operator="containsText" text="偏难"/>
    <x:cfRule type="containsText" dxfId="5" priority="3" operator="containsText" text="需调整"/>
  </x:conditionalFormatting>
  <x:dataValidations count="1">
    <x:dataValidation type="list" sqref="Q2:Q107">
      <x:formula1>"未评估,合理,偏易,偏难,需调整"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caa0319ae4e2d"/>
  </x:tableParts>
</x:worksheet>
</file>

<file path=xl/worksheets/sheet4.xml><?xml version="1.0" encoding="utf-8"?>
<x:worksheet xmlns:x="http://schemas.openxmlformats.org/spreadsheetml/2006/main">
  <x:sheetPr>
    <x:tabColor rgb="FF8B5CF6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22" hidden="0" customWidth="1"/>
    <x:col min="4" max="4" width="24" hidden="0" customWidth="1"/>
    <x:col min="5" max="5" width="22" hidden="0" customWidth="1"/>
    <x:col min="6" max="6" width="38" hidden="0" customWidth="1"/>
    <x:col min="7" max="7" width="28" hidden="0" customWidth="1"/>
    <x:col min="8" max="8" width="38" hidden="0" customWidth="1"/>
    <x:col min="9" max="9" width="42" hidden="0" customWidth="1"/>
    <x:col min="10" max="10" width="34" hidden="0" customWidth="1"/>
    <x:col min="11" max="11" width="11" hidden="0" customWidth="1"/>
    <x:col min="12" max="12" width="11" hidden="0" customWidth="1"/>
    <x:col min="13" max="13" width="13" hidden="0" customWidth="1"/>
    <x:col min="14" max="14" width="13" hidden="0" customWidth="1"/>
    <x:col min="15" max="15" width="30" hidden="0" customWidth="1"/>
  </x:cols>
  <x:sheetData>
    <x:row r="1" ht="30" customHeight="1">
      <x:c r="A1" s="35" t="str">
        <x:v>用例ID</x:v>
      </x:c>
      <x:c r="B1" s="36" t="str">
        <x:v>赛季</x:v>
      </x:c>
      <x:c r="C1" s="36" t="str">
        <x:v>事件ID</x:v>
      </x:c>
      <x:c r="D1" s="36" t="str">
        <x:v>事件名称</x:v>
      </x:c>
      <x:c r="E1" s="36" t="str">
        <x:v>场景</x:v>
      </x:c>
      <x:c r="F1" s="36" t="str">
        <x:v>准备条件</x:v>
      </x:c>
      <x:c r="G1" s="36" t="str">
        <x:v>操作</x:v>
      </x:c>
      <x:c r="H1" s="36" t="str">
        <x:v>预期页面状态</x:v>
      </x:c>
      <x:c r="I1" s="36" t="str">
        <x:v>预期数据结果</x:v>
      </x:c>
      <x:c r="J1" s="36" t="str">
        <x:v>实际结果</x:v>
      </x:c>
      <x:c r="K1" s="36" t="str">
        <x:v>状态</x:v>
      </x:c>
      <x:c r="L1" s="36" t="str">
        <x:v>测试人</x:v>
      </x:c>
      <x:c r="M1" s="36" t="str">
        <x:v>测试日期</x:v>
      </x:c>
      <x:c r="N1" s="36" t="str">
        <x:v>缺陷编号</x:v>
      </x:c>
      <x:c r="O1" s="37" t="str">
        <x:v>备注</x:v>
      </x:c>
    </x:row>
    <x:row r="2" ht="44" customHeight="1">
      <x:c r="A2" s="31" t="str">
        <x:v>FLOW-001</x:v>
      </x:c>
      <x:c r="B2" s="31" t="n">
        <x:v>2010</x:v>
      </x:c>
      <x:c r="C2" s="31" t="str">
        <x:v>decision_1</x:v>
      </x:c>
      <x:c r="D2" s="31" t="str">
        <x:v>决定一：南海岸集结</x:v>
      </x:c>
      <x:c r="E2" s="31" t="str">
        <x:v>赛季前锁定</x:v>
      </x:c>
      <x:c r="F2" s="39" t="str">
        <x:v>将当前赛季设为事件年份前一年</x:v>
      </x:c>
      <x:c r="G2" s="39" t="str">
        <x:v>打开命定事件详情</x:v>
      </x:c>
      <x:c r="H2" s="39" t="str">
        <x:v>未到赛季；分支按钮不可点击</x:v>
      </x:c>
      <x:c r="I2" s="39" t="str">
        <x:v>球队名单与事件记录不变</x:v>
      </x:c>
      <x:c r="J2" s="40" t="str"/>
      <x:c r="K2" s="38" t="str">
        <x:v>未开始</x:v>
      </x:c>
      <x:c r="L2" s="38" t="str"/>
      <x:c r="M2" s="41"/>
      <x:c r="N2" s="38" t="str"/>
      <x:c r="O2" s="38" t="str"/>
    </x:row>
    <x:row r="3" ht="44" customHeight="1">
      <x:c r="A3" s="31" t="str">
        <x:v>FLOW-002</x:v>
      </x:c>
      <x:c r="B3" s="31" t="n">
        <x:v>2010</x:v>
      </x:c>
      <x:c r="C3" s="31" t="str">
        <x:v>decision_1</x:v>
      </x:c>
      <x:c r="D3" s="31" t="str">
        <x:v>决定一：南海岸集结</x:v>
      </x:c>
      <x:c r="E3" s="31" t="str">
        <x:v>必须条件缺失</x:v>
      </x:c>
      <x:c r="F3" s="39" t="str">
        <x:v>进入事件赛季并破坏一项必须条件</x:v>
      </x:c>
      <x:c r="G3" s="39" t="str">
        <x:v>尝试触发</x:v>
      </x:c>
      <x:c r="H3" s="39" t="str">
        <x:v>条件不足；不可触发且无广告补必须条件</x:v>
      </x:c>
      <x:c r="I3" s="39" t="str">
        <x:v>球队名单与事件记录不变</x:v>
      </x:c>
      <x:c r="J3" s="40" t="str"/>
      <x:c r="K3" s="38" t="str">
        <x:v>未开始</x:v>
      </x:c>
      <x:c r="L3" s="38" t="str"/>
      <x:c r="M3" s="41"/>
      <x:c r="N3" s="38" t="str"/>
      <x:c r="O3" s="38" t="str"/>
    </x:row>
    <x:row r="4" ht="44" customHeight="1">
      <x:c r="A4" s="31" t="str">
        <x:v>FLOW-003</x:v>
      </x:c>
      <x:c r="B4" s="31" t="n">
        <x:v>2010</x:v>
      </x:c>
      <x:c r="C4" s="31" t="str">
        <x:v>decision_1</x:v>
      </x:c>
      <x:c r="D4" s="31" t="str">
        <x:v>决定一：南海岸集结</x:v>
      </x:c>
      <x:c r="E4" s="31" t="str">
        <x:v>恰好达到分数</x:v>
      </x:c>
      <x:c r="F4" s="39" t="str">
        <x:v>满足全部必须条件并恰好达到所需分</x:v>
      </x:c>
      <x:c r="G4" s="39" t="str">
        <x:v>选择事件或分支</x:v>
      </x:c>
      <x:c r="H4" s="39" t="str">
        <x:v>可触发</x:v>
      </x:c>
      <x:c r="I4" s="39" t="str">
        <x:v>按结果移动球员、写入完成记录并启用保护期</x:v>
      </x:c>
      <x:c r="J4" s="40" t="str"/>
      <x:c r="K4" s="38" t="str">
        <x:v>未开始</x:v>
      </x:c>
      <x:c r="L4" s="38" t="str"/>
      <x:c r="M4" s="41"/>
      <x:c r="N4" s="38" t="str"/>
      <x:c r="O4" s="38" t="str"/>
    </x:row>
    <x:row r="5" ht="44" customHeight="1">
      <x:c r="A5" s="31" t="str">
        <x:v>FLOW-004</x:v>
      </x:c>
      <x:c r="B5" s="31" t="n">
        <x:v>2010</x:v>
      </x:c>
      <x:c r="C5" s="31" t="str">
        <x:v>decision_1</x:v>
      </x:c>
      <x:c r="D5" s="31" t="str">
        <x:v>决定一：南海岸集结</x:v>
      </x:c>
      <x:c r="E5" s="31" t="str">
        <x:v>仅差1分广告补足</x:v>
      </x:c>
      <x:c r="F5" s="39" t="str">
        <x:v>满足全部必须条件，计分为2/3或1/2</x:v>
      </x:c>
      <x:c r="G5" s="39" t="str">
        <x:v>点击未满足条件后的广告解锁</x:v>
      </x:c>
      <x:c r="H5" s="39" t="str">
        <x:v>广告完成后条件补足并可触发；失败则恢复按钮</x:v>
      </x:c>
      <x:c r="I5" s="39" t="str">
        <x:v>解锁键写入平行模式存档；经典模式不受影响</x:v>
      </x:c>
      <x:c r="J5" s="40" t="str"/>
      <x:c r="K5" s="38" t="str">
        <x:v>未开始</x:v>
      </x:c>
      <x:c r="L5" s="38" t="str"/>
      <x:c r="M5" s="41"/>
      <x:c r="N5" s="38" t="str"/>
      <x:c r="O5" s="38" t="str"/>
    </x:row>
    <x:row r="6" ht="44" customHeight="1">
      <x:c r="A6" s="31" t="str">
        <x:v>FLOW-005</x:v>
      </x:c>
      <x:c r="B6" s="31" t="n">
        <x:v>2010</x:v>
      </x:c>
      <x:c r="C6" s="31" t="str">
        <x:v>decision_1</x:v>
      </x:c>
      <x:c r="D6" s="31" t="str">
        <x:v>决定一：南海岸集结</x:v>
      </x:c>
      <x:c r="E6" s="31" t="str">
        <x:v>主动忽略</x:v>
      </x:c>
      <x:c r="F6" s="39" t="str">
        <x:v>进入事件赛季且未过第55场</x:v>
      </x:c>
      <x:c r="G6" s="39" t="str">
        <x:v>点击忽略</x:v>
      </x:c>
      <x:c r="H6" s="39" t="str">
        <x:v>事件进入已忽略列表</x:v>
      </x:c>
      <x:c r="I6" s="39" t="str">
        <x:v>不执行事件变动；特殊后备结果按定义处理</x:v>
      </x:c>
      <x:c r="J6" s="40" t="str"/>
      <x:c r="K6" s="38" t="str">
        <x:v>未开始</x:v>
      </x:c>
      <x:c r="L6" s="38" t="str"/>
      <x:c r="M6" s="41"/>
      <x:c r="N6" s="38" t="str"/>
      <x:c r="O6" s="38" t="str"/>
    </x:row>
    <x:row r="7" ht="44" customHeight="1">
      <x:c r="A7" s="31" t="str">
        <x:v>FLOW-006</x:v>
      </x:c>
      <x:c r="B7" s="31" t="n">
        <x:v>2010</x:v>
      </x:c>
      <x:c r="C7" s="31" t="str">
        <x:v>decision_1</x:v>
      </x:c>
      <x:c r="D7" s="31" t="str">
        <x:v>决定一：南海岸集结</x:v>
      </x:c>
      <x:c r="E7" s="31" t="str">
        <x:v>截止日自动忽略</x:v>
      </x:c>
      <x:c r="F7" s="39" t="str">
        <x:v>事件未处理并模拟到第56场</x:v>
      </x:c>
      <x:c r="G7" s="39" t="str">
        <x:v>继续赛季</x:v>
      </x:c>
      <x:c r="H7" s="39" t="str">
        <x:v>自动按忽略结算并显示截止日失效</x:v>
      </x:c>
      <x:c r="I7" s="39" t="str">
        <x:v>不得在第56场后触发</x:v>
      </x:c>
      <x:c r="J7" s="40" t="str"/>
      <x:c r="K7" s="38" t="str">
        <x:v>未开始</x:v>
      </x:c>
      <x:c r="L7" s="38" t="str"/>
      <x:c r="M7" s="41"/>
      <x:c r="N7" s="38" t="str"/>
      <x:c r="O7" s="38" t="str"/>
    </x:row>
    <x:row r="8" ht="44" customHeight="1">
      <x:c r="A8" s="31" t="str">
        <x:v>FLOW-007</x:v>
      </x:c>
      <x:c r="B8" s="31" t="n">
        <x:v>2010</x:v>
      </x:c>
      <x:c r="C8" s="31" t="str">
        <x:v>decision_1</x:v>
      </x:c>
      <x:c r="D8" s="31" t="str">
        <x:v>决定一：南海岸集结</x:v>
      </x:c>
      <x:c r="E8" s="31" t="str">
        <x:v>赛季后失效</x:v>
      </x:c>
      <x:c r="F8" s="39" t="str">
        <x:v>将当前赛季设为事件年份后一年且无记录</x:v>
      </x:c>
      <x:c r="G8" s="39" t="str">
        <x:v>打开事件详情</x:v>
      </x:c>
      <x:c r="H8" s="39" t="str">
        <x:v>已失效</x:v>
      </x:c>
      <x:c r="I8" s="39" t="str">
        <x:v>球队名单与事件记录不变</x:v>
      </x:c>
      <x:c r="J8" s="40" t="str"/>
      <x:c r="K8" s="38" t="str">
        <x:v>未开始</x:v>
      </x:c>
      <x:c r="L8" s="38" t="str"/>
      <x:c r="M8" s="41"/>
      <x:c r="N8" s="38" t="str"/>
      <x:c r="O8" s="38" t="str"/>
    </x:row>
    <x:row r="9" ht="44" customHeight="1">
      <x:c r="A9" s="31" t="str">
        <x:v>FLOW-008</x:v>
      </x:c>
      <x:c r="B9" s="31" t="n">
        <x:v>2010</x:v>
      </x:c>
      <x:c r="C9" s="31" t="str">
        <x:v>decision_1</x:v>
      </x:c>
      <x:c r="D9" s="31" t="str">
        <x:v>决定一：南海岸集结</x:v>
      </x:c>
      <x:c r="E9" s="31" t="str">
        <x:v>存档恢复</x:v>
      </x:c>
      <x:c r="F9" s="39" t="str">
        <x:v>完成、忽略或广告解锁后退出并重新进入</x:v>
      </x:c>
      <x:c r="G9" s="39" t="str">
        <x:v>读取平行联盟存档</x:v>
      </x:c>
      <x:c r="H9" s="39" t="str">
        <x:v>处理状态和广告解锁保持一致</x:v>
      </x:c>
      <x:c r="I9" s="39" t="str">
        <x:v>不得重复移动球员或重复消耗广告</x:v>
      </x:c>
      <x:c r="J9" s="40" t="str"/>
      <x:c r="K9" s="38" t="str">
        <x:v>未开始</x:v>
      </x:c>
      <x:c r="L9" s="38" t="str"/>
      <x:c r="M9" s="41"/>
      <x:c r="N9" s="38" t="str"/>
      <x:c r="O9" s="38" t="str"/>
    </x:row>
    <x:row r="10" ht="44" customHeight="1">
      <x:c r="A10" s="31" t="str">
        <x:v>FLOW-009</x:v>
      </x:c>
      <x:c r="B10" s="31" t="n">
        <x:v>2011</x:v>
      </x:c>
      <x:c r="C10" s="31" t="str">
        <x:v>melo_new_york</x:v>
      </x:c>
      <x:c r="D10" s="31" t="str">
        <x:v>甜瓜奔赴纽约</x:v>
      </x:c>
      <x:c r="E10" s="31" t="str">
        <x:v>赛季前锁定</x:v>
      </x:c>
      <x:c r="F10" s="39" t="str">
        <x:v>将当前赛季设为事件年份前一年</x:v>
      </x:c>
      <x:c r="G10" s="39" t="str">
        <x:v>打开命定事件详情</x:v>
      </x:c>
      <x:c r="H10" s="39" t="str">
        <x:v>未到赛季；分支按钮不可点击</x:v>
      </x:c>
      <x:c r="I10" s="39" t="str">
        <x:v>球队名单与事件记录不变</x:v>
      </x:c>
      <x:c r="J10" s="40" t="str"/>
      <x:c r="K10" s="38" t="str">
        <x:v>未开始</x:v>
      </x:c>
      <x:c r="L10" s="38" t="str"/>
      <x:c r="M10" s="41"/>
      <x:c r="N10" s="38" t="str"/>
      <x:c r="O10" s="38" t="str"/>
    </x:row>
    <x:row r="11" ht="44" customHeight="1">
      <x:c r="A11" s="31" t="str">
        <x:v>FLOW-010</x:v>
      </x:c>
      <x:c r="B11" s="31" t="n">
        <x:v>2011</x:v>
      </x:c>
      <x:c r="C11" s="31" t="str">
        <x:v>melo_new_york</x:v>
      </x:c>
      <x:c r="D11" s="31" t="str">
        <x:v>甜瓜奔赴纽约</x:v>
      </x:c>
      <x:c r="E11" s="31" t="str">
        <x:v>必须条件缺失</x:v>
      </x:c>
      <x:c r="F11" s="39" t="str">
        <x:v>进入事件赛季并破坏一项必须条件</x:v>
      </x:c>
      <x:c r="G11" s="39" t="str">
        <x:v>尝试触发</x:v>
      </x:c>
      <x:c r="H11" s="39" t="str">
        <x:v>条件不足；不可触发且无广告补必须条件</x:v>
      </x:c>
      <x:c r="I11" s="39" t="str">
        <x:v>球队名单与事件记录不变</x:v>
      </x:c>
      <x:c r="J11" s="40" t="str"/>
      <x:c r="K11" s="38" t="str">
        <x:v>未开始</x:v>
      </x:c>
      <x:c r="L11" s="38" t="str"/>
      <x:c r="M11" s="41"/>
      <x:c r="N11" s="38" t="str"/>
      <x:c r="O11" s="38" t="str"/>
    </x:row>
    <x:row r="12" ht="44" customHeight="1">
      <x:c r="A12" s="31" t="str">
        <x:v>FLOW-011</x:v>
      </x:c>
      <x:c r="B12" s="31" t="n">
        <x:v>2011</x:v>
      </x:c>
      <x:c r="C12" s="31" t="str">
        <x:v>melo_new_york</x:v>
      </x:c>
      <x:c r="D12" s="31" t="str">
        <x:v>甜瓜奔赴纽约</x:v>
      </x:c>
      <x:c r="E12" s="31" t="str">
        <x:v>恰好达到分数</x:v>
      </x:c>
      <x:c r="F12" s="39" t="str">
        <x:v>满足全部必须条件并恰好达到所需分</x:v>
      </x:c>
      <x:c r="G12" s="39" t="str">
        <x:v>选择事件或分支</x:v>
      </x:c>
      <x:c r="H12" s="39" t="str">
        <x:v>可触发</x:v>
      </x:c>
      <x:c r="I12" s="39" t="str">
        <x:v>按结果移动球员、写入完成记录并启用保护期</x:v>
      </x:c>
      <x:c r="J12" s="40" t="str"/>
      <x:c r="K12" s="38" t="str">
        <x:v>未开始</x:v>
      </x:c>
      <x:c r="L12" s="38" t="str"/>
      <x:c r="M12" s="41"/>
      <x:c r="N12" s="38" t="str"/>
      <x:c r="O12" s="38" t="str"/>
    </x:row>
    <x:row r="13" ht="44" customHeight="1">
      <x:c r="A13" s="31" t="str">
        <x:v>FLOW-012</x:v>
      </x:c>
      <x:c r="B13" s="31" t="n">
        <x:v>2011</x:v>
      </x:c>
      <x:c r="C13" s="31" t="str">
        <x:v>melo_new_york</x:v>
      </x:c>
      <x:c r="D13" s="31" t="str">
        <x:v>甜瓜奔赴纽约</x:v>
      </x:c>
      <x:c r="E13" s="31" t="str">
        <x:v>仅差1分广告补足</x:v>
      </x:c>
      <x:c r="F13" s="39" t="str">
        <x:v>满足全部必须条件，计分为2/3或1/2</x:v>
      </x:c>
      <x:c r="G13" s="39" t="str">
        <x:v>点击未满足条件后的广告解锁</x:v>
      </x:c>
      <x:c r="H13" s="39" t="str">
        <x:v>广告完成后条件补足并可触发；失败则恢复按钮</x:v>
      </x:c>
      <x:c r="I13" s="39" t="str">
        <x:v>解锁键写入平行模式存档；经典模式不受影响</x:v>
      </x:c>
      <x:c r="J13" s="40" t="str"/>
      <x:c r="K13" s="38" t="str">
        <x:v>未开始</x:v>
      </x:c>
      <x:c r="L13" s="38" t="str"/>
      <x:c r="M13" s="41"/>
      <x:c r="N13" s="38" t="str"/>
      <x:c r="O13" s="38" t="str"/>
    </x:row>
    <x:row r="14" ht="44" customHeight="1">
      <x:c r="A14" s="31" t="str">
        <x:v>FLOW-013</x:v>
      </x:c>
      <x:c r="B14" s="31" t="n">
        <x:v>2011</x:v>
      </x:c>
      <x:c r="C14" s="31" t="str">
        <x:v>melo_new_york</x:v>
      </x:c>
      <x:c r="D14" s="31" t="str">
        <x:v>甜瓜奔赴纽约</x:v>
      </x:c>
      <x:c r="E14" s="31" t="str">
        <x:v>主动忽略</x:v>
      </x:c>
      <x:c r="F14" s="39" t="str">
        <x:v>进入事件赛季且未过第55场</x:v>
      </x:c>
      <x:c r="G14" s="39" t="str">
        <x:v>点击忽略</x:v>
      </x:c>
      <x:c r="H14" s="39" t="str">
        <x:v>事件进入已忽略列表</x:v>
      </x:c>
      <x:c r="I14" s="39" t="str">
        <x:v>不执行事件变动；特殊后备结果按定义处理</x:v>
      </x:c>
      <x:c r="J14" s="40" t="str"/>
      <x:c r="K14" s="38" t="str">
        <x:v>未开始</x:v>
      </x:c>
      <x:c r="L14" s="38" t="str"/>
      <x:c r="M14" s="41"/>
      <x:c r="N14" s="38" t="str"/>
      <x:c r="O14" s="38" t="str"/>
    </x:row>
    <x:row r="15" ht="44" customHeight="1">
      <x:c r="A15" s="31" t="str">
        <x:v>FLOW-014</x:v>
      </x:c>
      <x:c r="B15" s="31" t="n">
        <x:v>2011</x:v>
      </x:c>
      <x:c r="C15" s="31" t="str">
        <x:v>melo_new_york</x:v>
      </x:c>
      <x:c r="D15" s="31" t="str">
        <x:v>甜瓜奔赴纽约</x:v>
      </x:c>
      <x:c r="E15" s="31" t="str">
        <x:v>截止日自动忽略</x:v>
      </x:c>
      <x:c r="F15" s="39" t="str">
        <x:v>事件未处理并模拟到第56场</x:v>
      </x:c>
      <x:c r="G15" s="39" t="str">
        <x:v>继续赛季</x:v>
      </x:c>
      <x:c r="H15" s="39" t="str">
        <x:v>自动按忽略结算并显示截止日失效</x:v>
      </x:c>
      <x:c r="I15" s="39" t="str">
        <x:v>不得在第56场后触发</x:v>
      </x:c>
      <x:c r="J15" s="40" t="str"/>
      <x:c r="K15" s="38" t="str">
        <x:v>未开始</x:v>
      </x:c>
      <x:c r="L15" s="38" t="str"/>
      <x:c r="M15" s="41"/>
      <x:c r="N15" s="38" t="str"/>
      <x:c r="O15" s="38" t="str"/>
    </x:row>
    <x:row r="16" ht="44" customHeight="1">
      <x:c r="A16" s="31" t="str">
        <x:v>FLOW-015</x:v>
      </x:c>
      <x:c r="B16" s="31" t="n">
        <x:v>2011</x:v>
      </x:c>
      <x:c r="C16" s="31" t="str">
        <x:v>melo_new_york</x:v>
      </x:c>
      <x:c r="D16" s="31" t="str">
        <x:v>甜瓜奔赴纽约</x:v>
      </x:c>
      <x:c r="E16" s="31" t="str">
        <x:v>赛季后失效</x:v>
      </x:c>
      <x:c r="F16" s="39" t="str">
        <x:v>将当前赛季设为事件年份后一年且无记录</x:v>
      </x:c>
      <x:c r="G16" s="39" t="str">
        <x:v>打开事件详情</x:v>
      </x:c>
      <x:c r="H16" s="39" t="str">
        <x:v>已失效</x:v>
      </x:c>
      <x:c r="I16" s="39" t="str">
        <x:v>球队名单与事件记录不变</x:v>
      </x:c>
      <x:c r="J16" s="40" t="str"/>
      <x:c r="K16" s="38" t="str">
        <x:v>未开始</x:v>
      </x:c>
      <x:c r="L16" s="38" t="str"/>
      <x:c r="M16" s="41"/>
      <x:c r="N16" s="38" t="str"/>
      <x:c r="O16" s="38" t="str"/>
    </x:row>
    <x:row r="17" ht="44" customHeight="1">
      <x:c r="A17" s="31" t="str">
        <x:v>FLOW-016</x:v>
      </x:c>
      <x:c r="B17" s="31" t="n">
        <x:v>2011</x:v>
      </x:c>
      <x:c r="C17" s="31" t="str">
        <x:v>melo_new_york</x:v>
      </x:c>
      <x:c r="D17" s="31" t="str">
        <x:v>甜瓜奔赴纽约</x:v>
      </x:c>
      <x:c r="E17" s="31" t="str">
        <x:v>存档恢复</x:v>
      </x:c>
      <x:c r="F17" s="39" t="str">
        <x:v>完成、忽略或广告解锁后退出并重新进入</x:v>
      </x:c>
      <x:c r="G17" s="39" t="str">
        <x:v>读取平行联盟存档</x:v>
      </x:c>
      <x:c r="H17" s="39" t="str">
        <x:v>处理状态和广告解锁保持一致</x:v>
      </x:c>
      <x:c r="I17" s="39" t="str">
        <x:v>不得重复移动球员或重复消耗广告</x:v>
      </x:c>
      <x:c r="J17" s="40" t="str"/>
      <x:c r="K17" s="38" t="str">
        <x:v>未开始</x:v>
      </x:c>
      <x:c r="L17" s="38" t="str"/>
      <x:c r="M17" s="41"/>
      <x:c r="N17" s="38" t="str"/>
      <x:c r="O17" s="38" t="str"/>
    </x:row>
    <x:row r="18" ht="44" customHeight="1">
      <x:c r="A18" s="31" t="str">
        <x:v>FLOW-017</x:v>
      </x:c>
      <x:c r="B18" s="31" t="n">
        <x:v>2011</x:v>
      </x:c>
      <x:c r="C18" s="31" t="str">
        <x:v>cp3_lakers</x:v>
      </x:c>
      <x:c r="D18" s="31" t="str">
        <x:v>被叫停的交易</x:v>
      </x:c>
      <x:c r="E18" s="31" t="str">
        <x:v>赛季前锁定</x:v>
      </x:c>
      <x:c r="F18" s="39" t="str">
        <x:v>将当前赛季设为事件年份前一年</x:v>
      </x:c>
      <x:c r="G18" s="39" t="str">
        <x:v>打开命定事件详情</x:v>
      </x:c>
      <x:c r="H18" s="39" t="str">
        <x:v>未到赛季；分支按钮不可点击</x:v>
      </x:c>
      <x:c r="I18" s="39" t="str">
        <x:v>球队名单与事件记录不变</x:v>
      </x:c>
      <x:c r="J18" s="40" t="str"/>
      <x:c r="K18" s="38" t="str">
        <x:v>未开始</x:v>
      </x:c>
      <x:c r="L18" s="38" t="str"/>
      <x:c r="M18" s="41"/>
      <x:c r="N18" s="38" t="str"/>
      <x:c r="O18" s="38" t="str"/>
    </x:row>
    <x:row r="19" ht="44" customHeight="1">
      <x:c r="A19" s="31" t="str">
        <x:v>FLOW-018</x:v>
      </x:c>
      <x:c r="B19" s="31" t="n">
        <x:v>2011</x:v>
      </x:c>
      <x:c r="C19" s="31" t="str">
        <x:v>cp3_lakers</x:v>
      </x:c>
      <x:c r="D19" s="31" t="str">
        <x:v>被叫停的交易</x:v>
      </x:c>
      <x:c r="E19" s="31" t="str">
        <x:v>必须条件缺失</x:v>
      </x:c>
      <x:c r="F19" s="39" t="str">
        <x:v>进入事件赛季并破坏一项必须条件</x:v>
      </x:c>
      <x:c r="G19" s="39" t="str">
        <x:v>尝试触发</x:v>
      </x:c>
      <x:c r="H19" s="39" t="str">
        <x:v>条件不足；不可触发且无广告补必须条件</x:v>
      </x:c>
      <x:c r="I19" s="39" t="str">
        <x:v>球队名单与事件记录不变</x:v>
      </x:c>
      <x:c r="J19" s="40" t="str"/>
      <x:c r="K19" s="38" t="str">
        <x:v>未开始</x:v>
      </x:c>
      <x:c r="L19" s="38" t="str"/>
      <x:c r="M19" s="41"/>
      <x:c r="N19" s="38" t="str"/>
      <x:c r="O19" s="38" t="str"/>
    </x:row>
    <x:row r="20" ht="44" customHeight="1">
      <x:c r="A20" s="31" t="str">
        <x:v>FLOW-019</x:v>
      </x:c>
      <x:c r="B20" s="31" t="n">
        <x:v>2011</x:v>
      </x:c>
      <x:c r="C20" s="31" t="str">
        <x:v>cp3_lakers</x:v>
      </x:c>
      <x:c r="D20" s="31" t="str">
        <x:v>被叫停的交易</x:v>
      </x:c>
      <x:c r="E20" s="31" t="str">
        <x:v>恰好达到分数</x:v>
      </x:c>
      <x:c r="F20" s="39" t="str">
        <x:v>满足全部必须条件并恰好达到所需分</x:v>
      </x:c>
      <x:c r="G20" s="39" t="str">
        <x:v>选择事件或分支</x:v>
      </x:c>
      <x:c r="H20" s="39" t="str">
        <x:v>可触发</x:v>
      </x:c>
      <x:c r="I20" s="39" t="str">
        <x:v>按结果移动球员、写入完成记录并启用保护期</x:v>
      </x:c>
      <x:c r="J20" s="40" t="str"/>
      <x:c r="K20" s="38" t="str">
        <x:v>未开始</x:v>
      </x:c>
      <x:c r="L20" s="38" t="str"/>
      <x:c r="M20" s="41"/>
      <x:c r="N20" s="38" t="str"/>
      <x:c r="O20" s="38" t="str"/>
    </x:row>
    <x:row r="21" ht="44" customHeight="1">
      <x:c r="A21" s="31" t="str">
        <x:v>FLOW-020</x:v>
      </x:c>
      <x:c r="B21" s="31" t="n">
        <x:v>2011</x:v>
      </x:c>
      <x:c r="C21" s="31" t="str">
        <x:v>cp3_lakers</x:v>
      </x:c>
      <x:c r="D21" s="31" t="str">
        <x:v>被叫停的交易</x:v>
      </x:c>
      <x:c r="E21" s="31" t="str">
        <x:v>仅差1分广告补足</x:v>
      </x:c>
      <x:c r="F21" s="39" t="str">
        <x:v>满足全部必须条件，计分为2/3或1/2</x:v>
      </x:c>
      <x:c r="G21" s="39" t="str">
        <x:v>点击未满足条件后的广告解锁</x:v>
      </x:c>
      <x:c r="H21" s="39" t="str">
        <x:v>广告完成后条件补足并可触发；失败则恢复按钮</x:v>
      </x:c>
      <x:c r="I21" s="39" t="str">
        <x:v>解锁键写入平行模式存档；经典模式不受影响</x:v>
      </x:c>
      <x:c r="J21" s="40" t="str"/>
      <x:c r="K21" s="38" t="str">
        <x:v>未开始</x:v>
      </x:c>
      <x:c r="L21" s="38" t="str"/>
      <x:c r="M21" s="41"/>
      <x:c r="N21" s="38" t="str"/>
      <x:c r="O21" s="38" t="str"/>
    </x:row>
    <x:row r="22" ht="44" customHeight="1">
      <x:c r="A22" s="31" t="str">
        <x:v>FLOW-021</x:v>
      </x:c>
      <x:c r="B22" s="31" t="n">
        <x:v>2011</x:v>
      </x:c>
      <x:c r="C22" s="31" t="str">
        <x:v>cp3_lakers</x:v>
      </x:c>
      <x:c r="D22" s="31" t="str">
        <x:v>被叫停的交易</x:v>
      </x:c>
      <x:c r="E22" s="31" t="str">
        <x:v>主动忽略</x:v>
      </x:c>
      <x:c r="F22" s="39" t="str">
        <x:v>进入事件赛季且未过第55场</x:v>
      </x:c>
      <x:c r="G22" s="39" t="str">
        <x:v>点击忽略</x:v>
      </x:c>
      <x:c r="H22" s="39" t="str">
        <x:v>事件进入已忽略列表</x:v>
      </x:c>
      <x:c r="I22" s="39" t="str">
        <x:v>不执行事件变动；特殊后备结果按定义处理</x:v>
      </x:c>
      <x:c r="J22" s="40" t="str"/>
      <x:c r="K22" s="38" t="str">
        <x:v>未开始</x:v>
      </x:c>
      <x:c r="L22" s="38" t="str"/>
      <x:c r="M22" s="41"/>
      <x:c r="N22" s="38" t="str"/>
      <x:c r="O22" s="38" t="str"/>
    </x:row>
    <x:row r="23" ht="44" customHeight="1">
      <x:c r="A23" s="31" t="str">
        <x:v>FLOW-022</x:v>
      </x:c>
      <x:c r="B23" s="31" t="n">
        <x:v>2011</x:v>
      </x:c>
      <x:c r="C23" s="31" t="str">
        <x:v>cp3_lakers</x:v>
      </x:c>
      <x:c r="D23" s="31" t="str">
        <x:v>被叫停的交易</x:v>
      </x:c>
      <x:c r="E23" s="31" t="str">
        <x:v>截止日自动忽略</x:v>
      </x:c>
      <x:c r="F23" s="39" t="str">
        <x:v>事件未处理并模拟到第56场</x:v>
      </x:c>
      <x:c r="G23" s="39" t="str">
        <x:v>继续赛季</x:v>
      </x:c>
      <x:c r="H23" s="39" t="str">
        <x:v>自动按忽略结算并显示截止日失效</x:v>
      </x:c>
      <x:c r="I23" s="39" t="str">
        <x:v>不得在第56场后触发</x:v>
      </x:c>
      <x:c r="J23" s="40" t="str"/>
      <x:c r="K23" s="38" t="str">
        <x:v>未开始</x:v>
      </x:c>
      <x:c r="L23" s="38" t="str"/>
      <x:c r="M23" s="41"/>
      <x:c r="N23" s="38" t="str"/>
      <x:c r="O23" s="38" t="str"/>
    </x:row>
    <x:row r="24" ht="44" customHeight="1">
      <x:c r="A24" s="31" t="str">
        <x:v>FLOW-023</x:v>
      </x:c>
      <x:c r="B24" s="31" t="n">
        <x:v>2011</x:v>
      </x:c>
      <x:c r="C24" s="31" t="str">
        <x:v>cp3_lakers</x:v>
      </x:c>
      <x:c r="D24" s="31" t="str">
        <x:v>被叫停的交易</x:v>
      </x:c>
      <x:c r="E24" s="31" t="str">
        <x:v>赛季后失效</x:v>
      </x:c>
      <x:c r="F24" s="39" t="str">
        <x:v>将当前赛季设为事件年份后一年且无记录</x:v>
      </x:c>
      <x:c r="G24" s="39" t="str">
        <x:v>打开事件详情</x:v>
      </x:c>
      <x:c r="H24" s="39" t="str">
        <x:v>已失效</x:v>
      </x:c>
      <x:c r="I24" s="39" t="str">
        <x:v>球队名单与事件记录不变</x:v>
      </x:c>
      <x:c r="J24" s="40" t="str"/>
      <x:c r="K24" s="38" t="str">
        <x:v>未开始</x:v>
      </x:c>
      <x:c r="L24" s="38" t="str"/>
      <x:c r="M24" s="41"/>
      <x:c r="N24" s="38" t="str"/>
      <x:c r="O24" s="38" t="str"/>
    </x:row>
    <x:row r="25" ht="44" customHeight="1">
      <x:c r="A25" s="31" t="str">
        <x:v>FLOW-024</x:v>
      </x:c>
      <x:c r="B25" s="31" t="n">
        <x:v>2011</x:v>
      </x:c>
      <x:c r="C25" s="31" t="str">
        <x:v>cp3_lakers</x:v>
      </x:c>
      <x:c r="D25" s="31" t="str">
        <x:v>被叫停的交易</x:v>
      </x:c>
      <x:c r="E25" s="31" t="str">
        <x:v>存档恢复</x:v>
      </x:c>
      <x:c r="F25" s="39" t="str">
        <x:v>完成、忽略或广告解锁后退出并重新进入</x:v>
      </x:c>
      <x:c r="G25" s="39" t="str">
        <x:v>读取平行联盟存档</x:v>
      </x:c>
      <x:c r="H25" s="39" t="str">
        <x:v>处理状态和广告解锁保持一致</x:v>
      </x:c>
      <x:c r="I25" s="39" t="str">
        <x:v>不得重复移动球员或重复消耗广告</x:v>
      </x:c>
      <x:c r="J25" s="40" t="str"/>
      <x:c r="K25" s="38" t="str">
        <x:v>未开始</x:v>
      </x:c>
      <x:c r="L25" s="38" t="str"/>
      <x:c r="M25" s="41"/>
      <x:c r="N25" s="38" t="str"/>
      <x:c r="O25" s="38" t="str"/>
    </x:row>
    <x:row r="26" ht="44" customHeight="1">
      <x:c r="A26" s="31" t="str">
        <x:v>FLOW-025</x:v>
      </x:c>
      <x:c r="B26" s="31" t="n">
        <x:v>2012</x:v>
      </x:c>
      <x:c r="C26" s="31" t="str">
        <x:v>harden_houston</x:v>
      </x:c>
      <x:c r="D26" s="31" t="str">
        <x:v>大胡子独当一面</x:v>
      </x:c>
      <x:c r="E26" s="31" t="str">
        <x:v>赛季前锁定</x:v>
      </x:c>
      <x:c r="F26" s="39" t="str">
        <x:v>将当前赛季设为事件年份前一年</x:v>
      </x:c>
      <x:c r="G26" s="39" t="str">
        <x:v>打开命定事件详情</x:v>
      </x:c>
      <x:c r="H26" s="39" t="str">
        <x:v>未到赛季；分支按钮不可点击</x:v>
      </x:c>
      <x:c r="I26" s="39" t="str">
        <x:v>球队名单与事件记录不变</x:v>
      </x:c>
      <x:c r="J26" s="40" t="str"/>
      <x:c r="K26" s="38" t="str">
        <x:v>未开始</x:v>
      </x:c>
      <x:c r="L26" s="38" t="str"/>
      <x:c r="M26" s="41"/>
      <x:c r="N26" s="38" t="str"/>
      <x:c r="O26" s="38" t="str"/>
    </x:row>
    <x:row r="27" ht="44" customHeight="1">
      <x:c r="A27" s="31" t="str">
        <x:v>FLOW-026</x:v>
      </x:c>
      <x:c r="B27" s="31" t="n">
        <x:v>2012</x:v>
      </x:c>
      <x:c r="C27" s="31" t="str">
        <x:v>harden_houston</x:v>
      </x:c>
      <x:c r="D27" s="31" t="str">
        <x:v>大胡子独当一面</x:v>
      </x:c>
      <x:c r="E27" s="31" t="str">
        <x:v>必须条件缺失</x:v>
      </x:c>
      <x:c r="F27" s="39" t="str">
        <x:v>进入事件赛季并破坏一项必须条件</x:v>
      </x:c>
      <x:c r="G27" s="39" t="str">
        <x:v>尝试触发</x:v>
      </x:c>
      <x:c r="H27" s="39" t="str">
        <x:v>条件不足；不可触发且无广告补必须条件</x:v>
      </x:c>
      <x:c r="I27" s="39" t="str">
        <x:v>球队名单与事件记录不变</x:v>
      </x:c>
      <x:c r="J27" s="40" t="str"/>
      <x:c r="K27" s="38" t="str">
        <x:v>未开始</x:v>
      </x:c>
      <x:c r="L27" s="38" t="str"/>
      <x:c r="M27" s="41"/>
      <x:c r="N27" s="38" t="str"/>
      <x:c r="O27" s="38" t="str"/>
    </x:row>
    <x:row r="28" ht="44" customHeight="1">
      <x:c r="A28" s="31" t="str">
        <x:v>FLOW-027</x:v>
      </x:c>
      <x:c r="B28" s="31" t="n">
        <x:v>2012</x:v>
      </x:c>
      <x:c r="C28" s="31" t="str">
        <x:v>harden_houston</x:v>
      </x:c>
      <x:c r="D28" s="31" t="str">
        <x:v>大胡子独当一面</x:v>
      </x:c>
      <x:c r="E28" s="31" t="str">
        <x:v>恰好达到分数</x:v>
      </x:c>
      <x:c r="F28" s="39" t="str">
        <x:v>满足全部必须条件并恰好达到所需分</x:v>
      </x:c>
      <x:c r="G28" s="39" t="str">
        <x:v>选择事件或分支</x:v>
      </x:c>
      <x:c r="H28" s="39" t="str">
        <x:v>可触发</x:v>
      </x:c>
      <x:c r="I28" s="39" t="str">
        <x:v>按结果移动球员、写入完成记录并启用保护期</x:v>
      </x:c>
      <x:c r="J28" s="40" t="str"/>
      <x:c r="K28" s="38" t="str">
        <x:v>未开始</x:v>
      </x:c>
      <x:c r="L28" s="38" t="str"/>
      <x:c r="M28" s="41"/>
      <x:c r="N28" s="38" t="str"/>
      <x:c r="O28" s="38" t="str"/>
    </x:row>
    <x:row r="29" ht="44" customHeight="1">
      <x:c r="A29" s="31" t="str">
        <x:v>FLOW-028</x:v>
      </x:c>
      <x:c r="B29" s="31" t="n">
        <x:v>2012</x:v>
      </x:c>
      <x:c r="C29" s="31" t="str">
        <x:v>harden_houston</x:v>
      </x:c>
      <x:c r="D29" s="31" t="str">
        <x:v>大胡子独当一面</x:v>
      </x:c>
      <x:c r="E29" s="31" t="str">
        <x:v>仅差1分广告补足</x:v>
      </x:c>
      <x:c r="F29" s="39" t="str">
        <x:v>满足全部必须条件，计分为2/3或1/2</x:v>
      </x:c>
      <x:c r="G29" s="39" t="str">
        <x:v>点击未满足条件后的广告解锁</x:v>
      </x:c>
      <x:c r="H29" s="39" t="str">
        <x:v>广告完成后条件补足并可触发；失败则恢复按钮</x:v>
      </x:c>
      <x:c r="I29" s="39" t="str">
        <x:v>解锁键写入平行模式存档；经典模式不受影响</x:v>
      </x:c>
      <x:c r="J29" s="40" t="str"/>
      <x:c r="K29" s="38" t="str">
        <x:v>未开始</x:v>
      </x:c>
      <x:c r="L29" s="38" t="str"/>
      <x:c r="M29" s="41"/>
      <x:c r="N29" s="38" t="str"/>
      <x:c r="O29" s="38" t="str"/>
    </x:row>
    <x:row r="30" ht="44" customHeight="1">
      <x:c r="A30" s="31" t="str">
        <x:v>FLOW-029</x:v>
      </x:c>
      <x:c r="B30" s="31" t="n">
        <x:v>2012</x:v>
      </x:c>
      <x:c r="C30" s="31" t="str">
        <x:v>harden_houston</x:v>
      </x:c>
      <x:c r="D30" s="31" t="str">
        <x:v>大胡子独当一面</x:v>
      </x:c>
      <x:c r="E30" s="31" t="str">
        <x:v>主动忽略</x:v>
      </x:c>
      <x:c r="F30" s="39" t="str">
        <x:v>进入事件赛季且未过第55场</x:v>
      </x:c>
      <x:c r="G30" s="39" t="str">
        <x:v>点击忽略</x:v>
      </x:c>
      <x:c r="H30" s="39" t="str">
        <x:v>事件进入已忽略列表</x:v>
      </x:c>
      <x:c r="I30" s="39" t="str">
        <x:v>不执行事件变动；特殊后备结果按定义处理</x:v>
      </x:c>
      <x:c r="J30" s="40" t="str"/>
      <x:c r="K30" s="38" t="str">
        <x:v>未开始</x:v>
      </x:c>
      <x:c r="L30" s="38" t="str"/>
      <x:c r="M30" s="41"/>
      <x:c r="N30" s="38" t="str"/>
      <x:c r="O30" s="38" t="str"/>
    </x:row>
    <x:row r="31" ht="44" customHeight="1">
      <x:c r="A31" s="31" t="str">
        <x:v>FLOW-030</x:v>
      </x:c>
      <x:c r="B31" s="31" t="n">
        <x:v>2012</x:v>
      </x:c>
      <x:c r="C31" s="31" t="str">
        <x:v>harden_houston</x:v>
      </x:c>
      <x:c r="D31" s="31" t="str">
        <x:v>大胡子独当一面</x:v>
      </x:c>
      <x:c r="E31" s="31" t="str">
        <x:v>截止日自动忽略</x:v>
      </x:c>
      <x:c r="F31" s="39" t="str">
        <x:v>事件未处理并模拟到第56场</x:v>
      </x:c>
      <x:c r="G31" s="39" t="str">
        <x:v>继续赛季</x:v>
      </x:c>
      <x:c r="H31" s="39" t="str">
        <x:v>自动按忽略结算并显示截止日失效</x:v>
      </x:c>
      <x:c r="I31" s="39" t="str">
        <x:v>不得在第56场后触发</x:v>
      </x:c>
      <x:c r="J31" s="40" t="str"/>
      <x:c r="K31" s="38" t="str">
        <x:v>未开始</x:v>
      </x:c>
      <x:c r="L31" s="38" t="str"/>
      <x:c r="M31" s="41"/>
      <x:c r="N31" s="38" t="str"/>
      <x:c r="O31" s="38" t="str"/>
    </x:row>
    <x:row r="32" ht="44" customHeight="1">
      <x:c r="A32" s="31" t="str">
        <x:v>FLOW-031</x:v>
      </x:c>
      <x:c r="B32" s="31" t="n">
        <x:v>2012</x:v>
      </x:c>
      <x:c r="C32" s="31" t="str">
        <x:v>harden_houston</x:v>
      </x:c>
      <x:c r="D32" s="31" t="str">
        <x:v>大胡子独当一面</x:v>
      </x:c>
      <x:c r="E32" s="31" t="str">
        <x:v>赛季后失效</x:v>
      </x:c>
      <x:c r="F32" s="39" t="str">
        <x:v>将当前赛季设为事件年份后一年且无记录</x:v>
      </x:c>
      <x:c r="G32" s="39" t="str">
        <x:v>打开事件详情</x:v>
      </x:c>
      <x:c r="H32" s="39" t="str">
        <x:v>已失效</x:v>
      </x:c>
      <x:c r="I32" s="39" t="str">
        <x:v>球队名单与事件记录不变</x:v>
      </x:c>
      <x:c r="J32" s="40" t="str"/>
      <x:c r="K32" s="38" t="str">
        <x:v>未开始</x:v>
      </x:c>
      <x:c r="L32" s="38" t="str"/>
      <x:c r="M32" s="41"/>
      <x:c r="N32" s="38" t="str"/>
      <x:c r="O32" s="38" t="str"/>
    </x:row>
    <x:row r="33" ht="44" customHeight="1">
      <x:c r="A33" s="31" t="str">
        <x:v>FLOW-032</x:v>
      </x:c>
      <x:c r="B33" s="31" t="n">
        <x:v>2012</x:v>
      </x:c>
      <x:c r="C33" s="31" t="str">
        <x:v>harden_houston</x:v>
      </x:c>
      <x:c r="D33" s="31" t="str">
        <x:v>大胡子独当一面</x:v>
      </x:c>
      <x:c r="E33" s="31" t="str">
        <x:v>存档恢复</x:v>
      </x:c>
      <x:c r="F33" s="39" t="str">
        <x:v>完成、忽略或广告解锁后退出并重新进入</x:v>
      </x:c>
      <x:c r="G33" s="39" t="str">
        <x:v>读取平行联盟存档</x:v>
      </x:c>
      <x:c r="H33" s="39" t="str">
        <x:v>处理状态和广告解锁保持一致</x:v>
      </x:c>
      <x:c r="I33" s="39" t="str">
        <x:v>不得重复移动球员或重复消耗广告</x:v>
      </x:c>
      <x:c r="J33" s="40" t="str"/>
      <x:c r="K33" s="38" t="str">
        <x:v>未开始</x:v>
      </x:c>
      <x:c r="L33" s="38" t="str"/>
      <x:c r="M33" s="41"/>
      <x:c r="N33" s="38" t="str"/>
      <x:c r="O33" s="38" t="str"/>
    </x:row>
    <x:row r="34" ht="44" customHeight="1">
      <x:c r="A34" s="31" t="str">
        <x:v>FLOW-033</x:v>
      </x:c>
      <x:c r="B34" s="31" t="n">
        <x:v>2013</x:v>
      </x:c>
      <x:c r="C34" s="31" t="str">
        <x:v>howard_houston</x:v>
      </x:c>
      <x:c r="D34" s="31" t="str">
        <x:v>魔兽空降休斯敦</x:v>
      </x:c>
      <x:c r="E34" s="31" t="str">
        <x:v>赛季前锁定</x:v>
      </x:c>
      <x:c r="F34" s="39" t="str">
        <x:v>将当前赛季设为事件年份前一年</x:v>
      </x:c>
      <x:c r="G34" s="39" t="str">
        <x:v>打开命定事件详情</x:v>
      </x:c>
      <x:c r="H34" s="39" t="str">
        <x:v>未到赛季；分支按钮不可点击</x:v>
      </x:c>
      <x:c r="I34" s="39" t="str">
        <x:v>球队名单与事件记录不变</x:v>
      </x:c>
      <x:c r="J34" s="40" t="str"/>
      <x:c r="K34" s="38" t="str">
        <x:v>未开始</x:v>
      </x:c>
      <x:c r="L34" s="38" t="str"/>
      <x:c r="M34" s="41"/>
      <x:c r="N34" s="38" t="str"/>
      <x:c r="O34" s="38" t="str"/>
    </x:row>
    <x:row r="35" ht="44" customHeight="1">
      <x:c r="A35" s="31" t="str">
        <x:v>FLOW-034</x:v>
      </x:c>
      <x:c r="B35" s="31" t="n">
        <x:v>2013</x:v>
      </x:c>
      <x:c r="C35" s="31" t="str">
        <x:v>howard_houston</x:v>
      </x:c>
      <x:c r="D35" s="31" t="str">
        <x:v>魔兽空降休斯敦</x:v>
      </x:c>
      <x:c r="E35" s="31" t="str">
        <x:v>必须条件缺失</x:v>
      </x:c>
      <x:c r="F35" s="39" t="str">
        <x:v>进入事件赛季并破坏一项必须条件</x:v>
      </x:c>
      <x:c r="G35" s="39" t="str">
        <x:v>尝试触发</x:v>
      </x:c>
      <x:c r="H35" s="39" t="str">
        <x:v>条件不足；不可触发且无广告补必须条件</x:v>
      </x:c>
      <x:c r="I35" s="39" t="str">
        <x:v>球队名单与事件记录不变</x:v>
      </x:c>
      <x:c r="J35" s="40" t="str"/>
      <x:c r="K35" s="38" t="str">
        <x:v>未开始</x:v>
      </x:c>
      <x:c r="L35" s="38" t="str"/>
      <x:c r="M35" s="41"/>
      <x:c r="N35" s="38" t="str"/>
      <x:c r="O35" s="38" t="str"/>
    </x:row>
    <x:row r="36" ht="44" customHeight="1">
      <x:c r="A36" s="31" t="str">
        <x:v>FLOW-035</x:v>
      </x:c>
      <x:c r="B36" s="31" t="n">
        <x:v>2013</x:v>
      </x:c>
      <x:c r="C36" s="31" t="str">
        <x:v>howard_houston</x:v>
      </x:c>
      <x:c r="D36" s="31" t="str">
        <x:v>魔兽空降休斯敦</x:v>
      </x:c>
      <x:c r="E36" s="31" t="str">
        <x:v>恰好达到分数</x:v>
      </x:c>
      <x:c r="F36" s="39" t="str">
        <x:v>满足全部必须条件并恰好达到所需分</x:v>
      </x:c>
      <x:c r="G36" s="39" t="str">
        <x:v>选择事件或分支</x:v>
      </x:c>
      <x:c r="H36" s="39" t="str">
        <x:v>可触发</x:v>
      </x:c>
      <x:c r="I36" s="39" t="str">
        <x:v>按结果移动球员、写入完成记录并启用保护期</x:v>
      </x:c>
      <x:c r="J36" s="40" t="str"/>
      <x:c r="K36" s="38" t="str">
        <x:v>未开始</x:v>
      </x:c>
      <x:c r="L36" s="38" t="str"/>
      <x:c r="M36" s="41"/>
      <x:c r="N36" s="38" t="str"/>
      <x:c r="O36" s="38" t="str"/>
    </x:row>
    <x:row r="37" ht="44" customHeight="1">
      <x:c r="A37" s="31" t="str">
        <x:v>FLOW-036</x:v>
      </x:c>
      <x:c r="B37" s="31" t="n">
        <x:v>2013</x:v>
      </x:c>
      <x:c r="C37" s="31" t="str">
        <x:v>howard_houston</x:v>
      </x:c>
      <x:c r="D37" s="31" t="str">
        <x:v>魔兽空降休斯敦</x:v>
      </x:c>
      <x:c r="E37" s="31" t="str">
        <x:v>仅差1分广告补足</x:v>
      </x:c>
      <x:c r="F37" s="39" t="str">
        <x:v>满足全部必须条件，计分为2/3或1/2</x:v>
      </x:c>
      <x:c r="G37" s="39" t="str">
        <x:v>点击未满足条件后的广告解锁</x:v>
      </x:c>
      <x:c r="H37" s="39" t="str">
        <x:v>广告完成后条件补足并可触发；失败则恢复按钮</x:v>
      </x:c>
      <x:c r="I37" s="39" t="str">
        <x:v>解锁键写入平行模式存档；经典模式不受影响</x:v>
      </x:c>
      <x:c r="J37" s="40" t="str"/>
      <x:c r="K37" s="38" t="str">
        <x:v>未开始</x:v>
      </x:c>
      <x:c r="L37" s="38" t="str"/>
      <x:c r="M37" s="41"/>
      <x:c r="N37" s="38" t="str"/>
      <x:c r="O37" s="38" t="str"/>
    </x:row>
    <x:row r="38" ht="44" customHeight="1">
      <x:c r="A38" s="31" t="str">
        <x:v>FLOW-037</x:v>
      </x:c>
      <x:c r="B38" s="31" t="n">
        <x:v>2013</x:v>
      </x:c>
      <x:c r="C38" s="31" t="str">
        <x:v>howard_houston</x:v>
      </x:c>
      <x:c r="D38" s="31" t="str">
        <x:v>魔兽空降休斯敦</x:v>
      </x:c>
      <x:c r="E38" s="31" t="str">
        <x:v>主动忽略</x:v>
      </x:c>
      <x:c r="F38" s="39" t="str">
        <x:v>进入事件赛季且未过第55场</x:v>
      </x:c>
      <x:c r="G38" s="39" t="str">
        <x:v>点击忽略</x:v>
      </x:c>
      <x:c r="H38" s="39" t="str">
        <x:v>事件进入已忽略列表</x:v>
      </x:c>
      <x:c r="I38" s="39" t="str">
        <x:v>不执行事件变动；特殊后备结果按定义处理</x:v>
      </x:c>
      <x:c r="J38" s="40" t="str"/>
      <x:c r="K38" s="38" t="str">
        <x:v>未开始</x:v>
      </x:c>
      <x:c r="L38" s="38" t="str"/>
      <x:c r="M38" s="41"/>
      <x:c r="N38" s="38" t="str"/>
      <x:c r="O38" s="38" t="str"/>
    </x:row>
    <x:row r="39" ht="44" customHeight="1">
      <x:c r="A39" s="31" t="str">
        <x:v>FLOW-038</x:v>
      </x:c>
      <x:c r="B39" s="31" t="n">
        <x:v>2013</x:v>
      </x:c>
      <x:c r="C39" s="31" t="str">
        <x:v>howard_houston</x:v>
      </x:c>
      <x:c r="D39" s="31" t="str">
        <x:v>魔兽空降休斯敦</x:v>
      </x:c>
      <x:c r="E39" s="31" t="str">
        <x:v>截止日自动忽略</x:v>
      </x:c>
      <x:c r="F39" s="39" t="str">
        <x:v>事件未处理并模拟到第56场</x:v>
      </x:c>
      <x:c r="G39" s="39" t="str">
        <x:v>继续赛季</x:v>
      </x:c>
      <x:c r="H39" s="39" t="str">
        <x:v>自动按忽略结算并显示截止日失效</x:v>
      </x:c>
      <x:c r="I39" s="39" t="str">
        <x:v>不得在第56场后触发</x:v>
      </x:c>
      <x:c r="J39" s="40" t="str"/>
      <x:c r="K39" s="38" t="str">
        <x:v>未开始</x:v>
      </x:c>
      <x:c r="L39" s="38" t="str"/>
      <x:c r="M39" s="41"/>
      <x:c r="N39" s="38" t="str"/>
      <x:c r="O39" s="38" t="str"/>
    </x:row>
    <x:row r="40" ht="44" customHeight="1">
      <x:c r="A40" s="31" t="str">
        <x:v>FLOW-039</x:v>
      </x:c>
      <x:c r="B40" s="31" t="n">
        <x:v>2013</x:v>
      </x:c>
      <x:c r="C40" s="31" t="str">
        <x:v>howard_houston</x:v>
      </x:c>
      <x:c r="D40" s="31" t="str">
        <x:v>魔兽空降休斯敦</x:v>
      </x:c>
      <x:c r="E40" s="31" t="str">
        <x:v>赛季后失效</x:v>
      </x:c>
      <x:c r="F40" s="39" t="str">
        <x:v>将当前赛季设为事件年份后一年且无记录</x:v>
      </x:c>
      <x:c r="G40" s="39" t="str">
        <x:v>打开事件详情</x:v>
      </x:c>
      <x:c r="H40" s="39" t="str">
        <x:v>已失效</x:v>
      </x:c>
      <x:c r="I40" s="39" t="str">
        <x:v>球队名单与事件记录不变</x:v>
      </x:c>
      <x:c r="J40" s="40" t="str"/>
      <x:c r="K40" s="38" t="str">
        <x:v>未开始</x:v>
      </x:c>
      <x:c r="L40" s="38" t="str"/>
      <x:c r="M40" s="41"/>
      <x:c r="N40" s="38" t="str"/>
      <x:c r="O40" s="38" t="str"/>
    </x:row>
    <x:row r="41" ht="44" customHeight="1">
      <x:c r="A41" s="31" t="str">
        <x:v>FLOW-040</x:v>
      </x:c>
      <x:c r="B41" s="31" t="n">
        <x:v>2013</x:v>
      </x:c>
      <x:c r="C41" s="31" t="str">
        <x:v>howard_houston</x:v>
      </x:c>
      <x:c r="D41" s="31" t="str">
        <x:v>魔兽空降休斯敦</x:v>
      </x:c>
      <x:c r="E41" s="31" t="str">
        <x:v>存档恢复</x:v>
      </x:c>
      <x:c r="F41" s="39" t="str">
        <x:v>完成、忽略或广告解锁后退出并重新进入</x:v>
      </x:c>
      <x:c r="G41" s="39" t="str">
        <x:v>读取平行联盟存档</x:v>
      </x:c>
      <x:c r="H41" s="39" t="str">
        <x:v>处理状态和广告解锁保持一致</x:v>
      </x:c>
      <x:c r="I41" s="39" t="str">
        <x:v>不得重复移动球员或重复消耗广告</x:v>
      </x:c>
      <x:c r="J41" s="40" t="str"/>
      <x:c r="K41" s="38" t="str">
        <x:v>未开始</x:v>
      </x:c>
      <x:c r="L41" s="38" t="str"/>
      <x:c r="M41" s="41"/>
      <x:c r="N41" s="38" t="str"/>
      <x:c r="O41" s="38" t="str"/>
    </x:row>
    <x:row r="42" ht="44" customHeight="1">
      <x:c r="A42" s="31" t="str">
        <x:v>FLOW-041</x:v>
      </x:c>
      <x:c r="B42" s="31" t="n">
        <x:v>2014</x:v>
      </x:c>
      <x:c r="C42" s="31" t="str">
        <x:v>decision_2</x:v>
      </x:c>
      <x:c r="D42" s="31" t="str">
        <x:v>决定二：回到故乡</x:v>
      </x:c>
      <x:c r="E42" s="31" t="str">
        <x:v>赛季前锁定</x:v>
      </x:c>
      <x:c r="F42" s="39" t="str">
        <x:v>将当前赛季设为事件年份前一年</x:v>
      </x:c>
      <x:c r="G42" s="39" t="str">
        <x:v>打开命定事件详情</x:v>
      </x:c>
      <x:c r="H42" s="39" t="str">
        <x:v>未到赛季；分支按钮不可点击</x:v>
      </x:c>
      <x:c r="I42" s="39" t="str">
        <x:v>球队名单与事件记录不变</x:v>
      </x:c>
      <x:c r="J42" s="40" t="str"/>
      <x:c r="K42" s="38" t="str">
        <x:v>未开始</x:v>
      </x:c>
      <x:c r="L42" s="38" t="str"/>
      <x:c r="M42" s="41"/>
      <x:c r="N42" s="38" t="str"/>
      <x:c r="O42" s="38" t="str"/>
    </x:row>
    <x:row r="43" ht="44" customHeight="1">
      <x:c r="A43" s="31" t="str">
        <x:v>FLOW-042</x:v>
      </x:c>
      <x:c r="B43" s="31" t="n">
        <x:v>2014</x:v>
      </x:c>
      <x:c r="C43" s="31" t="str">
        <x:v>decision_2</x:v>
      </x:c>
      <x:c r="D43" s="31" t="str">
        <x:v>决定二：回到故乡</x:v>
      </x:c>
      <x:c r="E43" s="31" t="str">
        <x:v>必须条件缺失</x:v>
      </x:c>
      <x:c r="F43" s="39" t="str">
        <x:v>进入事件赛季并破坏一项必须条件</x:v>
      </x:c>
      <x:c r="G43" s="39" t="str">
        <x:v>尝试触发</x:v>
      </x:c>
      <x:c r="H43" s="39" t="str">
        <x:v>条件不足；不可触发且无广告补必须条件</x:v>
      </x:c>
      <x:c r="I43" s="39" t="str">
        <x:v>球队名单与事件记录不变</x:v>
      </x:c>
      <x:c r="J43" s="40" t="str"/>
      <x:c r="K43" s="38" t="str">
        <x:v>未开始</x:v>
      </x:c>
      <x:c r="L43" s="38" t="str"/>
      <x:c r="M43" s="41"/>
      <x:c r="N43" s="38" t="str"/>
      <x:c r="O43" s="38" t="str"/>
    </x:row>
    <x:row r="44" ht="44" customHeight="1">
      <x:c r="A44" s="31" t="str">
        <x:v>FLOW-043</x:v>
      </x:c>
      <x:c r="B44" s="31" t="n">
        <x:v>2014</x:v>
      </x:c>
      <x:c r="C44" s="31" t="str">
        <x:v>decision_2</x:v>
      </x:c>
      <x:c r="D44" s="31" t="str">
        <x:v>决定二：回到故乡</x:v>
      </x:c>
      <x:c r="E44" s="31" t="str">
        <x:v>恰好达到分数</x:v>
      </x:c>
      <x:c r="F44" s="39" t="str">
        <x:v>满足全部必须条件并恰好达到所需分</x:v>
      </x:c>
      <x:c r="G44" s="39" t="str">
        <x:v>选择事件或分支</x:v>
      </x:c>
      <x:c r="H44" s="39" t="str">
        <x:v>可触发</x:v>
      </x:c>
      <x:c r="I44" s="39" t="str">
        <x:v>按结果移动球员、写入完成记录并启用保护期</x:v>
      </x:c>
      <x:c r="J44" s="40" t="str"/>
      <x:c r="K44" s="38" t="str">
        <x:v>未开始</x:v>
      </x:c>
      <x:c r="L44" s="38" t="str"/>
      <x:c r="M44" s="41"/>
      <x:c r="N44" s="38" t="str"/>
      <x:c r="O44" s="38" t="str"/>
    </x:row>
    <x:row r="45" ht="44" customHeight="1">
      <x:c r="A45" s="31" t="str">
        <x:v>FLOW-044</x:v>
      </x:c>
      <x:c r="B45" s="31" t="n">
        <x:v>2014</x:v>
      </x:c>
      <x:c r="C45" s="31" t="str">
        <x:v>decision_2</x:v>
      </x:c>
      <x:c r="D45" s="31" t="str">
        <x:v>决定二：回到故乡</x:v>
      </x:c>
      <x:c r="E45" s="31" t="str">
        <x:v>仅差1分广告补足</x:v>
      </x:c>
      <x:c r="F45" s="39" t="str">
        <x:v>满足全部必须条件，计分为2/3或1/2</x:v>
      </x:c>
      <x:c r="G45" s="39" t="str">
        <x:v>点击未满足条件后的广告解锁</x:v>
      </x:c>
      <x:c r="H45" s="39" t="str">
        <x:v>广告完成后条件补足并可触发；失败则恢复按钮</x:v>
      </x:c>
      <x:c r="I45" s="39" t="str">
        <x:v>解锁键写入平行模式存档；经典模式不受影响</x:v>
      </x:c>
      <x:c r="J45" s="40" t="str"/>
      <x:c r="K45" s="38" t="str">
        <x:v>未开始</x:v>
      </x:c>
      <x:c r="L45" s="38" t="str"/>
      <x:c r="M45" s="41"/>
      <x:c r="N45" s="38" t="str"/>
      <x:c r="O45" s="38" t="str"/>
    </x:row>
    <x:row r="46" ht="44" customHeight="1">
      <x:c r="A46" s="31" t="str">
        <x:v>FLOW-045</x:v>
      </x:c>
      <x:c r="B46" s="31" t="n">
        <x:v>2014</x:v>
      </x:c>
      <x:c r="C46" s="31" t="str">
        <x:v>decision_2</x:v>
      </x:c>
      <x:c r="D46" s="31" t="str">
        <x:v>决定二：回到故乡</x:v>
      </x:c>
      <x:c r="E46" s="31" t="str">
        <x:v>主动忽略</x:v>
      </x:c>
      <x:c r="F46" s="39" t="str">
        <x:v>进入事件赛季且未过第55场</x:v>
      </x:c>
      <x:c r="G46" s="39" t="str">
        <x:v>点击忽略</x:v>
      </x:c>
      <x:c r="H46" s="39" t="str">
        <x:v>事件进入已忽略列表</x:v>
      </x:c>
      <x:c r="I46" s="39" t="str">
        <x:v>不执行事件变动；特殊后备结果按定义处理</x:v>
      </x:c>
      <x:c r="J46" s="40" t="str"/>
      <x:c r="K46" s="38" t="str">
        <x:v>未开始</x:v>
      </x:c>
      <x:c r="L46" s="38" t="str"/>
      <x:c r="M46" s="41"/>
      <x:c r="N46" s="38" t="str"/>
      <x:c r="O46" s="38" t="str"/>
    </x:row>
    <x:row r="47" ht="44" customHeight="1">
      <x:c r="A47" s="31" t="str">
        <x:v>FLOW-046</x:v>
      </x:c>
      <x:c r="B47" s="31" t="n">
        <x:v>2014</x:v>
      </x:c>
      <x:c r="C47" s="31" t="str">
        <x:v>decision_2</x:v>
      </x:c>
      <x:c r="D47" s="31" t="str">
        <x:v>决定二：回到故乡</x:v>
      </x:c>
      <x:c r="E47" s="31" t="str">
        <x:v>截止日自动忽略</x:v>
      </x:c>
      <x:c r="F47" s="39" t="str">
        <x:v>事件未处理并模拟到第56场</x:v>
      </x:c>
      <x:c r="G47" s="39" t="str">
        <x:v>继续赛季</x:v>
      </x:c>
      <x:c r="H47" s="39" t="str">
        <x:v>自动按忽略结算并显示截止日失效</x:v>
      </x:c>
      <x:c r="I47" s="39" t="str">
        <x:v>不得在第56场后触发</x:v>
      </x:c>
      <x:c r="J47" s="40" t="str"/>
      <x:c r="K47" s="38" t="str">
        <x:v>未开始</x:v>
      </x:c>
      <x:c r="L47" s="38" t="str"/>
      <x:c r="M47" s="41"/>
      <x:c r="N47" s="38" t="str"/>
      <x:c r="O47" s="38" t="str"/>
    </x:row>
    <x:row r="48" ht="44" customHeight="1">
      <x:c r="A48" s="31" t="str">
        <x:v>FLOW-047</x:v>
      </x:c>
      <x:c r="B48" s="31" t="n">
        <x:v>2014</x:v>
      </x:c>
      <x:c r="C48" s="31" t="str">
        <x:v>decision_2</x:v>
      </x:c>
      <x:c r="D48" s="31" t="str">
        <x:v>决定二：回到故乡</x:v>
      </x:c>
      <x:c r="E48" s="31" t="str">
        <x:v>赛季后失效</x:v>
      </x:c>
      <x:c r="F48" s="39" t="str">
        <x:v>将当前赛季设为事件年份后一年且无记录</x:v>
      </x:c>
      <x:c r="G48" s="39" t="str">
        <x:v>打开事件详情</x:v>
      </x:c>
      <x:c r="H48" s="39" t="str">
        <x:v>已失效</x:v>
      </x:c>
      <x:c r="I48" s="39" t="str">
        <x:v>球队名单与事件记录不变</x:v>
      </x:c>
      <x:c r="J48" s="40" t="str"/>
      <x:c r="K48" s="38" t="str">
        <x:v>未开始</x:v>
      </x:c>
      <x:c r="L48" s="38" t="str"/>
      <x:c r="M48" s="41"/>
      <x:c r="N48" s="38" t="str"/>
      <x:c r="O48" s="38" t="str"/>
    </x:row>
    <x:row r="49" ht="44" customHeight="1">
      <x:c r="A49" s="31" t="str">
        <x:v>FLOW-048</x:v>
      </x:c>
      <x:c r="B49" s="31" t="n">
        <x:v>2014</x:v>
      </x:c>
      <x:c r="C49" s="31" t="str">
        <x:v>decision_2</x:v>
      </x:c>
      <x:c r="D49" s="31" t="str">
        <x:v>决定二：回到故乡</x:v>
      </x:c>
      <x:c r="E49" s="31" t="str">
        <x:v>存档恢复</x:v>
      </x:c>
      <x:c r="F49" s="39" t="str">
        <x:v>完成、忽略或广告解锁后退出并重新进入</x:v>
      </x:c>
      <x:c r="G49" s="39" t="str">
        <x:v>读取平行联盟存档</x:v>
      </x:c>
      <x:c r="H49" s="39" t="str">
        <x:v>处理状态和广告解锁保持一致</x:v>
      </x:c>
      <x:c r="I49" s="39" t="str">
        <x:v>不得重复移动球员或重复消耗广告</x:v>
      </x:c>
      <x:c r="J49" s="40" t="str"/>
      <x:c r="K49" s="38" t="str">
        <x:v>未开始</x:v>
      </x:c>
      <x:c r="L49" s="38" t="str"/>
      <x:c r="M49" s="41"/>
      <x:c r="N49" s="38" t="str"/>
      <x:c r="O49" s="38" t="str"/>
    </x:row>
    <x:row r="50" ht="44" customHeight="1">
      <x:c r="A50" s="31" t="str">
        <x:v>FLOW-049</x:v>
      </x:c>
      <x:c r="B50" s="31" t="n">
        <x:v>2014</x:v>
      </x:c>
      <x:c r="C50" s="31" t="str">
        <x:v>love_cleveland</x:v>
      </x:c>
      <x:c r="D50" s="31" t="str">
        <x:v>三巨头最后一块拼图</x:v>
      </x:c>
      <x:c r="E50" s="31" t="str">
        <x:v>赛季前锁定</x:v>
      </x:c>
      <x:c r="F50" s="39" t="str">
        <x:v>将当前赛季设为事件年份前一年</x:v>
      </x:c>
      <x:c r="G50" s="39" t="str">
        <x:v>打开命定事件详情</x:v>
      </x:c>
      <x:c r="H50" s="39" t="str">
        <x:v>未到赛季；分支按钮不可点击</x:v>
      </x:c>
      <x:c r="I50" s="39" t="str">
        <x:v>球队名单与事件记录不变</x:v>
      </x:c>
      <x:c r="J50" s="40" t="str"/>
      <x:c r="K50" s="38" t="str">
        <x:v>未开始</x:v>
      </x:c>
      <x:c r="L50" s="38" t="str"/>
      <x:c r="M50" s="41"/>
      <x:c r="N50" s="38" t="str"/>
      <x:c r="O50" s="38" t="str"/>
    </x:row>
    <x:row r="51" ht="44" customHeight="1">
      <x:c r="A51" s="31" t="str">
        <x:v>FLOW-050</x:v>
      </x:c>
      <x:c r="B51" s="31" t="n">
        <x:v>2014</x:v>
      </x:c>
      <x:c r="C51" s="31" t="str">
        <x:v>love_cleveland</x:v>
      </x:c>
      <x:c r="D51" s="31" t="str">
        <x:v>三巨头最后一块拼图</x:v>
      </x:c>
      <x:c r="E51" s="31" t="str">
        <x:v>必须条件缺失</x:v>
      </x:c>
      <x:c r="F51" s="39" t="str">
        <x:v>进入事件赛季并破坏一项必须条件</x:v>
      </x:c>
      <x:c r="G51" s="39" t="str">
        <x:v>尝试触发</x:v>
      </x:c>
      <x:c r="H51" s="39" t="str">
        <x:v>条件不足；不可触发且无广告补必须条件</x:v>
      </x:c>
      <x:c r="I51" s="39" t="str">
        <x:v>球队名单与事件记录不变</x:v>
      </x:c>
      <x:c r="J51" s="40" t="str"/>
      <x:c r="K51" s="38" t="str">
        <x:v>未开始</x:v>
      </x:c>
      <x:c r="L51" s="38" t="str"/>
      <x:c r="M51" s="41"/>
      <x:c r="N51" s="38" t="str"/>
      <x:c r="O51" s="38" t="str"/>
    </x:row>
    <x:row r="52" ht="44" customHeight="1">
      <x:c r="A52" s="31" t="str">
        <x:v>FLOW-051</x:v>
      </x:c>
      <x:c r="B52" s="31" t="n">
        <x:v>2014</x:v>
      </x:c>
      <x:c r="C52" s="31" t="str">
        <x:v>love_cleveland</x:v>
      </x:c>
      <x:c r="D52" s="31" t="str">
        <x:v>三巨头最后一块拼图</x:v>
      </x:c>
      <x:c r="E52" s="31" t="str">
        <x:v>恰好达到分数</x:v>
      </x:c>
      <x:c r="F52" s="39" t="str">
        <x:v>满足全部必须条件并恰好达到所需分</x:v>
      </x:c>
      <x:c r="G52" s="39" t="str">
        <x:v>选择事件或分支</x:v>
      </x:c>
      <x:c r="H52" s="39" t="str">
        <x:v>可触发</x:v>
      </x:c>
      <x:c r="I52" s="39" t="str">
        <x:v>按结果移动球员、写入完成记录并启用保护期</x:v>
      </x:c>
      <x:c r="J52" s="40" t="str"/>
      <x:c r="K52" s="38" t="str">
        <x:v>未开始</x:v>
      </x:c>
      <x:c r="L52" s="38" t="str"/>
      <x:c r="M52" s="41"/>
      <x:c r="N52" s="38" t="str"/>
      <x:c r="O52" s="38" t="str"/>
    </x:row>
    <x:row r="53" ht="44" customHeight="1">
      <x:c r="A53" s="31" t="str">
        <x:v>FLOW-052</x:v>
      </x:c>
      <x:c r="B53" s="31" t="n">
        <x:v>2014</x:v>
      </x:c>
      <x:c r="C53" s="31" t="str">
        <x:v>love_cleveland</x:v>
      </x:c>
      <x:c r="D53" s="31" t="str">
        <x:v>三巨头最后一块拼图</x:v>
      </x:c>
      <x:c r="E53" s="31" t="str">
        <x:v>仅差1分广告补足</x:v>
      </x:c>
      <x:c r="F53" s="39" t="str">
        <x:v>满足全部必须条件，计分为2/3或1/2</x:v>
      </x:c>
      <x:c r="G53" s="39" t="str">
        <x:v>点击未满足条件后的广告解锁</x:v>
      </x:c>
      <x:c r="H53" s="39" t="str">
        <x:v>广告完成后条件补足并可触发；失败则恢复按钮</x:v>
      </x:c>
      <x:c r="I53" s="39" t="str">
        <x:v>解锁键写入平行模式存档；经典模式不受影响</x:v>
      </x:c>
      <x:c r="J53" s="40" t="str"/>
      <x:c r="K53" s="38" t="str">
        <x:v>未开始</x:v>
      </x:c>
      <x:c r="L53" s="38" t="str"/>
      <x:c r="M53" s="41"/>
      <x:c r="N53" s="38" t="str"/>
      <x:c r="O53" s="38" t="str"/>
    </x:row>
    <x:row r="54" ht="44" customHeight="1">
      <x:c r="A54" s="31" t="str">
        <x:v>FLOW-053</x:v>
      </x:c>
      <x:c r="B54" s="31" t="n">
        <x:v>2014</x:v>
      </x:c>
      <x:c r="C54" s="31" t="str">
        <x:v>love_cleveland</x:v>
      </x:c>
      <x:c r="D54" s="31" t="str">
        <x:v>三巨头最后一块拼图</x:v>
      </x:c>
      <x:c r="E54" s="31" t="str">
        <x:v>主动忽略</x:v>
      </x:c>
      <x:c r="F54" s="39" t="str">
        <x:v>进入事件赛季且未过第55场</x:v>
      </x:c>
      <x:c r="G54" s="39" t="str">
        <x:v>点击忽略</x:v>
      </x:c>
      <x:c r="H54" s="39" t="str">
        <x:v>事件进入已忽略列表</x:v>
      </x:c>
      <x:c r="I54" s="39" t="str">
        <x:v>不执行事件变动；特殊后备结果按定义处理</x:v>
      </x:c>
      <x:c r="J54" s="40" t="str"/>
      <x:c r="K54" s="38" t="str">
        <x:v>未开始</x:v>
      </x:c>
      <x:c r="L54" s="38" t="str"/>
      <x:c r="M54" s="41"/>
      <x:c r="N54" s="38" t="str"/>
      <x:c r="O54" s="38" t="str"/>
    </x:row>
    <x:row r="55" ht="44" customHeight="1">
      <x:c r="A55" s="31" t="str">
        <x:v>FLOW-054</x:v>
      </x:c>
      <x:c r="B55" s="31" t="n">
        <x:v>2014</x:v>
      </x:c>
      <x:c r="C55" s="31" t="str">
        <x:v>love_cleveland</x:v>
      </x:c>
      <x:c r="D55" s="31" t="str">
        <x:v>三巨头最后一块拼图</x:v>
      </x:c>
      <x:c r="E55" s="31" t="str">
        <x:v>截止日自动忽略</x:v>
      </x:c>
      <x:c r="F55" s="39" t="str">
        <x:v>事件未处理并模拟到第56场</x:v>
      </x:c>
      <x:c r="G55" s="39" t="str">
        <x:v>继续赛季</x:v>
      </x:c>
      <x:c r="H55" s="39" t="str">
        <x:v>自动按忽略结算并显示截止日失效</x:v>
      </x:c>
      <x:c r="I55" s="39" t="str">
        <x:v>不得在第56场后触发</x:v>
      </x:c>
      <x:c r="J55" s="40" t="str"/>
      <x:c r="K55" s="38" t="str">
        <x:v>未开始</x:v>
      </x:c>
      <x:c r="L55" s="38" t="str"/>
      <x:c r="M55" s="41"/>
      <x:c r="N55" s="38" t="str"/>
      <x:c r="O55" s="38" t="str"/>
    </x:row>
    <x:row r="56" ht="44" customHeight="1">
      <x:c r="A56" s="31" t="str">
        <x:v>FLOW-055</x:v>
      </x:c>
      <x:c r="B56" s="31" t="n">
        <x:v>2014</x:v>
      </x:c>
      <x:c r="C56" s="31" t="str">
        <x:v>love_cleveland</x:v>
      </x:c>
      <x:c r="D56" s="31" t="str">
        <x:v>三巨头最后一块拼图</x:v>
      </x:c>
      <x:c r="E56" s="31" t="str">
        <x:v>赛季后失效</x:v>
      </x:c>
      <x:c r="F56" s="39" t="str">
        <x:v>将当前赛季设为事件年份后一年且无记录</x:v>
      </x:c>
      <x:c r="G56" s="39" t="str">
        <x:v>打开事件详情</x:v>
      </x:c>
      <x:c r="H56" s="39" t="str">
        <x:v>已失效</x:v>
      </x:c>
      <x:c r="I56" s="39" t="str">
        <x:v>球队名单与事件记录不变</x:v>
      </x:c>
      <x:c r="J56" s="40" t="str"/>
      <x:c r="K56" s="38" t="str">
        <x:v>未开始</x:v>
      </x:c>
      <x:c r="L56" s="38" t="str"/>
      <x:c r="M56" s="41"/>
      <x:c r="N56" s="38" t="str"/>
      <x:c r="O56" s="38" t="str"/>
    </x:row>
    <x:row r="57" ht="44" customHeight="1">
      <x:c r="A57" s="31" t="str">
        <x:v>FLOW-056</x:v>
      </x:c>
      <x:c r="B57" s="31" t="n">
        <x:v>2014</x:v>
      </x:c>
      <x:c r="C57" s="31" t="str">
        <x:v>love_cleveland</x:v>
      </x:c>
      <x:c r="D57" s="31" t="str">
        <x:v>三巨头最后一块拼图</x:v>
      </x:c>
      <x:c r="E57" s="31" t="str">
        <x:v>存档恢复</x:v>
      </x:c>
      <x:c r="F57" s="39" t="str">
        <x:v>完成、忽略或广告解锁后退出并重新进入</x:v>
      </x:c>
      <x:c r="G57" s="39" t="str">
        <x:v>读取平行联盟存档</x:v>
      </x:c>
      <x:c r="H57" s="39" t="str">
        <x:v>处理状态和广告解锁保持一致</x:v>
      </x:c>
      <x:c r="I57" s="39" t="str">
        <x:v>不得重复移动球员或重复消耗广告</x:v>
      </x:c>
      <x:c r="J57" s="40" t="str"/>
      <x:c r="K57" s="38" t="str">
        <x:v>未开始</x:v>
      </x:c>
      <x:c r="L57" s="38" t="str"/>
      <x:c r="M57" s="41"/>
      <x:c r="N57" s="38" t="str"/>
      <x:c r="O57" s="38" t="str"/>
    </x:row>
    <x:row r="58" ht="44" customHeight="1">
      <x:c r="A58" s="31" t="str">
        <x:v>FLOW-057</x:v>
      </x:c>
      <x:c r="B58" s="31" t="n">
        <x:v>2015</x:v>
      </x:c>
      <x:c r="C58" s="31" t="str">
        <x:v>aldridge_spurs</x:v>
      </x:c>
      <x:c r="D58" s="31" t="str">
        <x:v>马刺迎来全明星内线</x:v>
      </x:c>
      <x:c r="E58" s="31" t="str">
        <x:v>赛季前锁定</x:v>
      </x:c>
      <x:c r="F58" s="39" t="str">
        <x:v>将当前赛季设为事件年份前一年</x:v>
      </x:c>
      <x:c r="G58" s="39" t="str">
        <x:v>打开命定事件详情</x:v>
      </x:c>
      <x:c r="H58" s="39" t="str">
        <x:v>未到赛季；分支按钮不可点击</x:v>
      </x:c>
      <x:c r="I58" s="39" t="str">
        <x:v>球队名单与事件记录不变</x:v>
      </x:c>
      <x:c r="J58" s="40" t="str"/>
      <x:c r="K58" s="38" t="str">
        <x:v>未开始</x:v>
      </x:c>
      <x:c r="L58" s="38" t="str"/>
      <x:c r="M58" s="41"/>
      <x:c r="N58" s="38" t="str"/>
      <x:c r="O58" s="38" t="str"/>
    </x:row>
    <x:row r="59" ht="44" customHeight="1">
      <x:c r="A59" s="31" t="str">
        <x:v>FLOW-058</x:v>
      </x:c>
      <x:c r="B59" s="31" t="n">
        <x:v>2015</x:v>
      </x:c>
      <x:c r="C59" s="31" t="str">
        <x:v>aldridge_spurs</x:v>
      </x:c>
      <x:c r="D59" s="31" t="str">
        <x:v>马刺迎来全明星内线</x:v>
      </x:c>
      <x:c r="E59" s="31" t="str">
        <x:v>必须条件缺失</x:v>
      </x:c>
      <x:c r="F59" s="39" t="str">
        <x:v>进入事件赛季并破坏一项必须条件</x:v>
      </x:c>
      <x:c r="G59" s="39" t="str">
        <x:v>尝试触发</x:v>
      </x:c>
      <x:c r="H59" s="39" t="str">
        <x:v>条件不足；不可触发且无广告补必须条件</x:v>
      </x:c>
      <x:c r="I59" s="39" t="str">
        <x:v>球队名单与事件记录不变</x:v>
      </x:c>
      <x:c r="J59" s="40" t="str"/>
      <x:c r="K59" s="38" t="str">
        <x:v>未开始</x:v>
      </x:c>
      <x:c r="L59" s="38" t="str"/>
      <x:c r="M59" s="41"/>
      <x:c r="N59" s="38" t="str"/>
      <x:c r="O59" s="38" t="str"/>
    </x:row>
    <x:row r="60" ht="44" customHeight="1">
      <x:c r="A60" s="31" t="str">
        <x:v>FLOW-059</x:v>
      </x:c>
      <x:c r="B60" s="31" t="n">
        <x:v>2015</x:v>
      </x:c>
      <x:c r="C60" s="31" t="str">
        <x:v>aldridge_spurs</x:v>
      </x:c>
      <x:c r="D60" s="31" t="str">
        <x:v>马刺迎来全明星内线</x:v>
      </x:c>
      <x:c r="E60" s="31" t="str">
        <x:v>恰好达到分数</x:v>
      </x:c>
      <x:c r="F60" s="39" t="str">
        <x:v>满足全部必须条件并恰好达到所需分</x:v>
      </x:c>
      <x:c r="G60" s="39" t="str">
        <x:v>选择事件或分支</x:v>
      </x:c>
      <x:c r="H60" s="39" t="str">
        <x:v>可触发</x:v>
      </x:c>
      <x:c r="I60" s="39" t="str">
        <x:v>按结果移动球员、写入完成记录并启用保护期</x:v>
      </x:c>
      <x:c r="J60" s="40" t="str"/>
      <x:c r="K60" s="38" t="str">
        <x:v>未开始</x:v>
      </x:c>
      <x:c r="L60" s="38" t="str"/>
      <x:c r="M60" s="41"/>
      <x:c r="N60" s="38" t="str"/>
      <x:c r="O60" s="38" t="str"/>
    </x:row>
    <x:row r="61" ht="44" customHeight="1">
      <x:c r="A61" s="31" t="str">
        <x:v>FLOW-060</x:v>
      </x:c>
      <x:c r="B61" s="31" t="n">
        <x:v>2015</x:v>
      </x:c>
      <x:c r="C61" s="31" t="str">
        <x:v>aldridge_spurs</x:v>
      </x:c>
      <x:c r="D61" s="31" t="str">
        <x:v>马刺迎来全明星内线</x:v>
      </x:c>
      <x:c r="E61" s="31" t="str">
        <x:v>仅差1分广告补足</x:v>
      </x:c>
      <x:c r="F61" s="39" t="str">
        <x:v>满足全部必须条件，计分为2/3或1/2</x:v>
      </x:c>
      <x:c r="G61" s="39" t="str">
        <x:v>点击未满足条件后的广告解锁</x:v>
      </x:c>
      <x:c r="H61" s="39" t="str">
        <x:v>广告完成后条件补足并可触发；失败则恢复按钮</x:v>
      </x:c>
      <x:c r="I61" s="39" t="str">
        <x:v>解锁键写入平行模式存档；经典模式不受影响</x:v>
      </x:c>
      <x:c r="J61" s="40" t="str"/>
      <x:c r="K61" s="38" t="str">
        <x:v>未开始</x:v>
      </x:c>
      <x:c r="L61" s="38" t="str"/>
      <x:c r="M61" s="41"/>
      <x:c r="N61" s="38" t="str"/>
      <x:c r="O61" s="38" t="str"/>
    </x:row>
    <x:row r="62" ht="44" customHeight="1">
      <x:c r="A62" s="31" t="str">
        <x:v>FLOW-061</x:v>
      </x:c>
      <x:c r="B62" s="31" t="n">
        <x:v>2015</x:v>
      </x:c>
      <x:c r="C62" s="31" t="str">
        <x:v>aldridge_spurs</x:v>
      </x:c>
      <x:c r="D62" s="31" t="str">
        <x:v>马刺迎来全明星内线</x:v>
      </x:c>
      <x:c r="E62" s="31" t="str">
        <x:v>主动忽略</x:v>
      </x:c>
      <x:c r="F62" s="39" t="str">
        <x:v>进入事件赛季且未过第55场</x:v>
      </x:c>
      <x:c r="G62" s="39" t="str">
        <x:v>点击忽略</x:v>
      </x:c>
      <x:c r="H62" s="39" t="str">
        <x:v>事件进入已忽略列表</x:v>
      </x:c>
      <x:c r="I62" s="39" t="str">
        <x:v>不执行事件变动；特殊后备结果按定义处理</x:v>
      </x:c>
      <x:c r="J62" s="40" t="str"/>
      <x:c r="K62" s="38" t="str">
        <x:v>未开始</x:v>
      </x:c>
      <x:c r="L62" s="38" t="str"/>
      <x:c r="M62" s="41"/>
      <x:c r="N62" s="38" t="str"/>
      <x:c r="O62" s="38" t="str"/>
    </x:row>
    <x:row r="63" ht="44" customHeight="1">
      <x:c r="A63" s="31" t="str">
        <x:v>FLOW-062</x:v>
      </x:c>
      <x:c r="B63" s="31" t="n">
        <x:v>2015</x:v>
      </x:c>
      <x:c r="C63" s="31" t="str">
        <x:v>aldridge_spurs</x:v>
      </x:c>
      <x:c r="D63" s="31" t="str">
        <x:v>马刺迎来全明星内线</x:v>
      </x:c>
      <x:c r="E63" s="31" t="str">
        <x:v>截止日自动忽略</x:v>
      </x:c>
      <x:c r="F63" s="39" t="str">
        <x:v>事件未处理并模拟到第56场</x:v>
      </x:c>
      <x:c r="G63" s="39" t="str">
        <x:v>继续赛季</x:v>
      </x:c>
      <x:c r="H63" s="39" t="str">
        <x:v>自动按忽略结算并显示截止日失效</x:v>
      </x:c>
      <x:c r="I63" s="39" t="str">
        <x:v>不得在第56场后触发</x:v>
      </x:c>
      <x:c r="J63" s="40" t="str"/>
      <x:c r="K63" s="38" t="str">
        <x:v>未开始</x:v>
      </x:c>
      <x:c r="L63" s="38" t="str"/>
      <x:c r="M63" s="41"/>
      <x:c r="N63" s="38" t="str"/>
      <x:c r="O63" s="38" t="str"/>
    </x:row>
    <x:row r="64" ht="44" customHeight="1">
      <x:c r="A64" s="31" t="str">
        <x:v>FLOW-063</x:v>
      </x:c>
      <x:c r="B64" s="31" t="n">
        <x:v>2015</x:v>
      </x:c>
      <x:c r="C64" s="31" t="str">
        <x:v>aldridge_spurs</x:v>
      </x:c>
      <x:c r="D64" s="31" t="str">
        <x:v>马刺迎来全明星内线</x:v>
      </x:c>
      <x:c r="E64" s="31" t="str">
        <x:v>赛季后失效</x:v>
      </x:c>
      <x:c r="F64" s="39" t="str">
        <x:v>将当前赛季设为事件年份后一年且无记录</x:v>
      </x:c>
      <x:c r="G64" s="39" t="str">
        <x:v>打开事件详情</x:v>
      </x:c>
      <x:c r="H64" s="39" t="str">
        <x:v>已失效</x:v>
      </x:c>
      <x:c r="I64" s="39" t="str">
        <x:v>球队名单与事件记录不变</x:v>
      </x:c>
      <x:c r="J64" s="40" t="str"/>
      <x:c r="K64" s="38" t="str">
        <x:v>未开始</x:v>
      </x:c>
      <x:c r="L64" s="38" t="str"/>
      <x:c r="M64" s="41"/>
      <x:c r="N64" s="38" t="str"/>
      <x:c r="O64" s="38" t="str"/>
    </x:row>
    <x:row r="65" ht="44" customHeight="1">
      <x:c r="A65" s="31" t="str">
        <x:v>FLOW-064</x:v>
      </x:c>
      <x:c r="B65" s="31" t="n">
        <x:v>2015</x:v>
      </x:c>
      <x:c r="C65" s="31" t="str">
        <x:v>aldridge_spurs</x:v>
      </x:c>
      <x:c r="D65" s="31" t="str">
        <x:v>马刺迎来全明星内线</x:v>
      </x:c>
      <x:c r="E65" s="31" t="str">
        <x:v>存档恢复</x:v>
      </x:c>
      <x:c r="F65" s="39" t="str">
        <x:v>完成、忽略或广告解锁后退出并重新进入</x:v>
      </x:c>
      <x:c r="G65" s="39" t="str">
        <x:v>读取平行联盟存档</x:v>
      </x:c>
      <x:c r="H65" s="39" t="str">
        <x:v>处理状态和广告解锁保持一致</x:v>
      </x:c>
      <x:c r="I65" s="39" t="str">
        <x:v>不得重复移动球员或重复消耗广告</x:v>
      </x:c>
      <x:c r="J65" s="40" t="str"/>
      <x:c r="K65" s="38" t="str">
        <x:v>未开始</x:v>
      </x:c>
      <x:c r="L65" s="38" t="str"/>
      <x:c r="M65" s="41"/>
      <x:c r="N65" s="38" t="str"/>
      <x:c r="O65" s="38" t="str"/>
    </x:row>
    <x:row r="66" ht="44" customHeight="1">
      <x:c r="A66" s="31" t="str">
        <x:v>FLOW-065</x:v>
      </x:c>
      <x:c r="B66" s="31" t="n">
        <x:v>2016</x:v>
      </x:c>
      <x:c r="C66" s="31" t="str">
        <x:v>durant_warriors</x:v>
      </x:c>
      <x:c r="D66" s="31" t="str">
        <x:v>杜兰特的抉择</x:v>
      </x:c>
      <x:c r="E66" s="31" t="str">
        <x:v>赛季前锁定</x:v>
      </x:c>
      <x:c r="F66" s="39" t="str">
        <x:v>将当前赛季设为事件年份前一年</x:v>
      </x:c>
      <x:c r="G66" s="39" t="str">
        <x:v>打开命定事件详情</x:v>
      </x:c>
      <x:c r="H66" s="39" t="str">
        <x:v>未到赛季；分支按钮不可点击</x:v>
      </x:c>
      <x:c r="I66" s="39" t="str">
        <x:v>球队名单与事件记录不变</x:v>
      </x:c>
      <x:c r="J66" s="40" t="str"/>
      <x:c r="K66" s="38" t="str">
        <x:v>未开始</x:v>
      </x:c>
      <x:c r="L66" s="38" t="str"/>
      <x:c r="M66" s="41"/>
      <x:c r="N66" s="38" t="str"/>
      <x:c r="O66" s="38" t="str"/>
    </x:row>
    <x:row r="67" ht="44" customHeight="1">
      <x:c r="A67" s="31" t="str">
        <x:v>FLOW-066</x:v>
      </x:c>
      <x:c r="B67" s="31" t="n">
        <x:v>2016</x:v>
      </x:c>
      <x:c r="C67" s="31" t="str">
        <x:v>durant_warriors</x:v>
      </x:c>
      <x:c r="D67" s="31" t="str">
        <x:v>杜兰特的抉择</x:v>
      </x:c>
      <x:c r="E67" s="31" t="str">
        <x:v>必须条件缺失</x:v>
      </x:c>
      <x:c r="F67" s="39" t="str">
        <x:v>进入事件赛季并破坏一项必须条件</x:v>
      </x:c>
      <x:c r="G67" s="39" t="str">
        <x:v>尝试触发</x:v>
      </x:c>
      <x:c r="H67" s="39" t="str">
        <x:v>条件不足；不可触发且无广告补必须条件</x:v>
      </x:c>
      <x:c r="I67" s="39" t="str">
        <x:v>球队名单与事件记录不变</x:v>
      </x:c>
      <x:c r="J67" s="40" t="str"/>
      <x:c r="K67" s="38" t="str">
        <x:v>未开始</x:v>
      </x:c>
      <x:c r="L67" s="38" t="str"/>
      <x:c r="M67" s="41"/>
      <x:c r="N67" s="38" t="str"/>
      <x:c r="O67" s="38" t="str"/>
    </x:row>
    <x:row r="68" ht="44" customHeight="1">
      <x:c r="A68" s="31" t="str">
        <x:v>FLOW-067</x:v>
      </x:c>
      <x:c r="B68" s="31" t="n">
        <x:v>2016</x:v>
      </x:c>
      <x:c r="C68" s="31" t="str">
        <x:v>durant_warriors</x:v>
      </x:c>
      <x:c r="D68" s="31" t="str">
        <x:v>杜兰特的抉择</x:v>
      </x:c>
      <x:c r="E68" s="31" t="str">
        <x:v>恰好达到分数</x:v>
      </x:c>
      <x:c r="F68" s="39" t="str">
        <x:v>满足全部必须条件并恰好达到所需分</x:v>
      </x:c>
      <x:c r="G68" s="39" t="str">
        <x:v>选择事件或分支</x:v>
      </x:c>
      <x:c r="H68" s="39" t="str">
        <x:v>可触发</x:v>
      </x:c>
      <x:c r="I68" s="39" t="str">
        <x:v>按结果移动球员、写入完成记录并启用保护期</x:v>
      </x:c>
      <x:c r="J68" s="40" t="str"/>
      <x:c r="K68" s="38" t="str">
        <x:v>未开始</x:v>
      </x:c>
      <x:c r="L68" s="38" t="str"/>
      <x:c r="M68" s="41"/>
      <x:c r="N68" s="38" t="str"/>
      <x:c r="O68" s="38" t="str"/>
    </x:row>
    <x:row r="69" ht="44" customHeight="1">
      <x:c r="A69" s="31" t="str">
        <x:v>FLOW-068</x:v>
      </x:c>
      <x:c r="B69" s="31" t="n">
        <x:v>2016</x:v>
      </x:c>
      <x:c r="C69" s="31" t="str">
        <x:v>durant_warriors</x:v>
      </x:c>
      <x:c r="D69" s="31" t="str">
        <x:v>杜兰特的抉择</x:v>
      </x:c>
      <x:c r="E69" s="31" t="str">
        <x:v>仅差1分广告补足</x:v>
      </x:c>
      <x:c r="F69" s="39" t="str">
        <x:v>满足全部必须条件，计分为2/3或1/2</x:v>
      </x:c>
      <x:c r="G69" s="39" t="str">
        <x:v>点击未满足条件后的广告解锁</x:v>
      </x:c>
      <x:c r="H69" s="39" t="str">
        <x:v>广告完成后条件补足并可触发；失败则恢复按钮</x:v>
      </x:c>
      <x:c r="I69" s="39" t="str">
        <x:v>解锁键写入平行模式存档；经典模式不受影响</x:v>
      </x:c>
      <x:c r="J69" s="40" t="str"/>
      <x:c r="K69" s="38" t="str">
        <x:v>未开始</x:v>
      </x:c>
      <x:c r="L69" s="38" t="str"/>
      <x:c r="M69" s="41"/>
      <x:c r="N69" s="38" t="str"/>
      <x:c r="O69" s="38" t="str"/>
    </x:row>
    <x:row r="70" ht="44" customHeight="1">
      <x:c r="A70" s="31" t="str">
        <x:v>FLOW-069</x:v>
      </x:c>
      <x:c r="B70" s="31" t="n">
        <x:v>2016</x:v>
      </x:c>
      <x:c r="C70" s="31" t="str">
        <x:v>durant_warriors</x:v>
      </x:c>
      <x:c r="D70" s="31" t="str">
        <x:v>杜兰特的抉择</x:v>
      </x:c>
      <x:c r="E70" s="31" t="str">
        <x:v>主动忽略</x:v>
      </x:c>
      <x:c r="F70" s="39" t="str">
        <x:v>进入事件赛季且未过第55场</x:v>
      </x:c>
      <x:c r="G70" s="39" t="str">
        <x:v>点击忽略</x:v>
      </x:c>
      <x:c r="H70" s="39" t="str">
        <x:v>事件进入已忽略列表</x:v>
      </x:c>
      <x:c r="I70" s="39" t="str">
        <x:v>不执行事件变动；特殊后备结果按定义处理</x:v>
      </x:c>
      <x:c r="J70" s="40" t="str"/>
      <x:c r="K70" s="38" t="str">
        <x:v>未开始</x:v>
      </x:c>
      <x:c r="L70" s="38" t="str"/>
      <x:c r="M70" s="41"/>
      <x:c r="N70" s="38" t="str"/>
      <x:c r="O70" s="38" t="str"/>
    </x:row>
    <x:row r="71" ht="44" customHeight="1">
      <x:c r="A71" s="31" t="str">
        <x:v>FLOW-070</x:v>
      </x:c>
      <x:c r="B71" s="31" t="n">
        <x:v>2016</x:v>
      </x:c>
      <x:c r="C71" s="31" t="str">
        <x:v>durant_warriors</x:v>
      </x:c>
      <x:c r="D71" s="31" t="str">
        <x:v>杜兰特的抉择</x:v>
      </x:c>
      <x:c r="E71" s="31" t="str">
        <x:v>截止日自动忽略</x:v>
      </x:c>
      <x:c r="F71" s="39" t="str">
        <x:v>事件未处理并模拟到第56场</x:v>
      </x:c>
      <x:c r="G71" s="39" t="str">
        <x:v>继续赛季</x:v>
      </x:c>
      <x:c r="H71" s="39" t="str">
        <x:v>自动按忽略结算并显示截止日失效</x:v>
      </x:c>
      <x:c r="I71" s="39" t="str">
        <x:v>不得在第56场后触发</x:v>
      </x:c>
      <x:c r="J71" s="40" t="str"/>
      <x:c r="K71" s="38" t="str">
        <x:v>未开始</x:v>
      </x:c>
      <x:c r="L71" s="38" t="str"/>
      <x:c r="M71" s="41"/>
      <x:c r="N71" s="38" t="str"/>
      <x:c r="O71" s="38" t="str"/>
    </x:row>
    <x:row r="72" ht="44" customHeight="1">
      <x:c r="A72" s="31" t="str">
        <x:v>FLOW-071</x:v>
      </x:c>
      <x:c r="B72" s="31" t="n">
        <x:v>2016</x:v>
      </x:c>
      <x:c r="C72" s="31" t="str">
        <x:v>durant_warriors</x:v>
      </x:c>
      <x:c r="D72" s="31" t="str">
        <x:v>杜兰特的抉择</x:v>
      </x:c>
      <x:c r="E72" s="31" t="str">
        <x:v>赛季后失效</x:v>
      </x:c>
      <x:c r="F72" s="39" t="str">
        <x:v>将当前赛季设为事件年份后一年且无记录</x:v>
      </x:c>
      <x:c r="G72" s="39" t="str">
        <x:v>打开事件详情</x:v>
      </x:c>
      <x:c r="H72" s="39" t="str">
        <x:v>已失效</x:v>
      </x:c>
      <x:c r="I72" s="39" t="str">
        <x:v>球队名单与事件记录不变</x:v>
      </x:c>
      <x:c r="J72" s="40" t="str"/>
      <x:c r="K72" s="38" t="str">
        <x:v>未开始</x:v>
      </x:c>
      <x:c r="L72" s="38" t="str"/>
      <x:c r="M72" s="41"/>
      <x:c r="N72" s="38" t="str"/>
      <x:c r="O72" s="38" t="str"/>
    </x:row>
    <x:row r="73" ht="44" customHeight="1">
      <x:c r="A73" s="31" t="str">
        <x:v>FLOW-072</x:v>
      </x:c>
      <x:c r="B73" s="31" t="n">
        <x:v>2016</x:v>
      </x:c>
      <x:c r="C73" s="31" t="str">
        <x:v>durant_warriors</x:v>
      </x:c>
      <x:c r="D73" s="31" t="str">
        <x:v>杜兰特的抉择</x:v>
      </x:c>
      <x:c r="E73" s="31" t="str">
        <x:v>存档恢复</x:v>
      </x:c>
      <x:c r="F73" s="39" t="str">
        <x:v>完成、忽略或广告解锁后退出并重新进入</x:v>
      </x:c>
      <x:c r="G73" s="39" t="str">
        <x:v>读取平行联盟存档</x:v>
      </x:c>
      <x:c r="H73" s="39" t="str">
        <x:v>处理状态和广告解锁保持一致</x:v>
      </x:c>
      <x:c r="I73" s="39" t="str">
        <x:v>不得重复移动球员或重复消耗广告</x:v>
      </x:c>
      <x:c r="J73" s="40" t="str"/>
      <x:c r="K73" s="38" t="str">
        <x:v>未开始</x:v>
      </x:c>
      <x:c r="L73" s="38" t="str"/>
      <x:c r="M73" s="41"/>
      <x:c r="N73" s="38" t="str"/>
      <x:c r="O73" s="38" t="str"/>
    </x:row>
    <x:row r="74" ht="44" customHeight="1">
      <x:c r="A74" s="31" t="str">
        <x:v>FLOW-073</x:v>
      </x:c>
      <x:c r="B74" s="31" t="n">
        <x:v>2017</x:v>
      </x:c>
      <x:c r="C74" s="31" t="str">
        <x:v>cp3_houston</x:v>
      </x:c>
      <x:c r="D74" s="31" t="str">
        <x:v>灯泡组合成军</x:v>
      </x:c>
      <x:c r="E74" s="31" t="str">
        <x:v>赛季前锁定</x:v>
      </x:c>
      <x:c r="F74" s="39" t="str">
        <x:v>将当前赛季设为事件年份前一年</x:v>
      </x:c>
      <x:c r="G74" s="39" t="str">
        <x:v>打开命定事件详情</x:v>
      </x:c>
      <x:c r="H74" s="39" t="str">
        <x:v>未到赛季；分支按钮不可点击</x:v>
      </x:c>
      <x:c r="I74" s="39" t="str">
        <x:v>球队名单与事件记录不变</x:v>
      </x:c>
      <x:c r="J74" s="40" t="str"/>
      <x:c r="K74" s="38" t="str">
        <x:v>未开始</x:v>
      </x:c>
      <x:c r="L74" s="38" t="str"/>
      <x:c r="M74" s="41"/>
      <x:c r="N74" s="38" t="str"/>
      <x:c r="O74" s="38" t="str"/>
    </x:row>
    <x:row r="75" ht="44" customHeight="1">
      <x:c r="A75" s="31" t="str">
        <x:v>FLOW-074</x:v>
      </x:c>
      <x:c r="B75" s="31" t="n">
        <x:v>2017</x:v>
      </x:c>
      <x:c r="C75" s="31" t="str">
        <x:v>cp3_houston</x:v>
      </x:c>
      <x:c r="D75" s="31" t="str">
        <x:v>灯泡组合成军</x:v>
      </x:c>
      <x:c r="E75" s="31" t="str">
        <x:v>必须条件缺失</x:v>
      </x:c>
      <x:c r="F75" s="39" t="str">
        <x:v>进入事件赛季并破坏一项必须条件</x:v>
      </x:c>
      <x:c r="G75" s="39" t="str">
        <x:v>尝试触发</x:v>
      </x:c>
      <x:c r="H75" s="39" t="str">
        <x:v>条件不足；不可触发且无广告补必须条件</x:v>
      </x:c>
      <x:c r="I75" s="39" t="str">
        <x:v>球队名单与事件记录不变</x:v>
      </x:c>
      <x:c r="J75" s="40" t="str"/>
      <x:c r="K75" s="38" t="str">
        <x:v>未开始</x:v>
      </x:c>
      <x:c r="L75" s="38" t="str"/>
      <x:c r="M75" s="41"/>
      <x:c r="N75" s="38" t="str"/>
      <x:c r="O75" s="38" t="str"/>
    </x:row>
    <x:row r="76" ht="44" customHeight="1">
      <x:c r="A76" s="31" t="str">
        <x:v>FLOW-075</x:v>
      </x:c>
      <x:c r="B76" s="31" t="n">
        <x:v>2017</x:v>
      </x:c>
      <x:c r="C76" s="31" t="str">
        <x:v>cp3_houston</x:v>
      </x:c>
      <x:c r="D76" s="31" t="str">
        <x:v>灯泡组合成军</x:v>
      </x:c>
      <x:c r="E76" s="31" t="str">
        <x:v>恰好达到分数</x:v>
      </x:c>
      <x:c r="F76" s="39" t="str">
        <x:v>满足全部必须条件并恰好达到所需分</x:v>
      </x:c>
      <x:c r="G76" s="39" t="str">
        <x:v>选择事件或分支</x:v>
      </x:c>
      <x:c r="H76" s="39" t="str">
        <x:v>可触发</x:v>
      </x:c>
      <x:c r="I76" s="39" t="str">
        <x:v>按结果移动球员、写入完成记录并启用保护期</x:v>
      </x:c>
      <x:c r="J76" s="40" t="str"/>
      <x:c r="K76" s="38" t="str">
        <x:v>未开始</x:v>
      </x:c>
      <x:c r="L76" s="38" t="str"/>
      <x:c r="M76" s="41"/>
      <x:c r="N76" s="38" t="str"/>
      <x:c r="O76" s="38" t="str"/>
    </x:row>
    <x:row r="77" ht="44" customHeight="1">
      <x:c r="A77" s="31" t="str">
        <x:v>FLOW-076</x:v>
      </x:c>
      <x:c r="B77" s="31" t="n">
        <x:v>2017</x:v>
      </x:c>
      <x:c r="C77" s="31" t="str">
        <x:v>cp3_houston</x:v>
      </x:c>
      <x:c r="D77" s="31" t="str">
        <x:v>灯泡组合成军</x:v>
      </x:c>
      <x:c r="E77" s="31" t="str">
        <x:v>仅差1分广告补足</x:v>
      </x:c>
      <x:c r="F77" s="39" t="str">
        <x:v>满足全部必须条件，计分为2/3或1/2</x:v>
      </x:c>
      <x:c r="G77" s="39" t="str">
        <x:v>点击未满足条件后的广告解锁</x:v>
      </x:c>
      <x:c r="H77" s="39" t="str">
        <x:v>广告完成后条件补足并可触发；失败则恢复按钮</x:v>
      </x:c>
      <x:c r="I77" s="39" t="str">
        <x:v>解锁键写入平行模式存档；经典模式不受影响</x:v>
      </x:c>
      <x:c r="J77" s="40" t="str"/>
      <x:c r="K77" s="38" t="str">
        <x:v>未开始</x:v>
      </x:c>
      <x:c r="L77" s="38" t="str"/>
      <x:c r="M77" s="41"/>
      <x:c r="N77" s="38" t="str"/>
      <x:c r="O77" s="38" t="str"/>
    </x:row>
    <x:row r="78" ht="44" customHeight="1">
      <x:c r="A78" s="31" t="str">
        <x:v>FLOW-077</x:v>
      </x:c>
      <x:c r="B78" s="31" t="n">
        <x:v>2017</x:v>
      </x:c>
      <x:c r="C78" s="31" t="str">
        <x:v>cp3_houston</x:v>
      </x:c>
      <x:c r="D78" s="31" t="str">
        <x:v>灯泡组合成军</x:v>
      </x:c>
      <x:c r="E78" s="31" t="str">
        <x:v>主动忽略</x:v>
      </x:c>
      <x:c r="F78" s="39" t="str">
        <x:v>进入事件赛季且未过第55场</x:v>
      </x:c>
      <x:c r="G78" s="39" t="str">
        <x:v>点击忽略</x:v>
      </x:c>
      <x:c r="H78" s="39" t="str">
        <x:v>事件进入已忽略列表</x:v>
      </x:c>
      <x:c r="I78" s="39" t="str">
        <x:v>不执行事件变动；特殊后备结果按定义处理</x:v>
      </x:c>
      <x:c r="J78" s="40" t="str"/>
      <x:c r="K78" s="38" t="str">
        <x:v>未开始</x:v>
      </x:c>
      <x:c r="L78" s="38" t="str"/>
      <x:c r="M78" s="41"/>
      <x:c r="N78" s="38" t="str"/>
      <x:c r="O78" s="38" t="str"/>
    </x:row>
    <x:row r="79" ht="44" customHeight="1">
      <x:c r="A79" s="31" t="str">
        <x:v>FLOW-078</x:v>
      </x:c>
      <x:c r="B79" s="31" t="n">
        <x:v>2017</x:v>
      </x:c>
      <x:c r="C79" s="31" t="str">
        <x:v>cp3_houston</x:v>
      </x:c>
      <x:c r="D79" s="31" t="str">
        <x:v>灯泡组合成军</x:v>
      </x:c>
      <x:c r="E79" s="31" t="str">
        <x:v>截止日自动忽略</x:v>
      </x:c>
      <x:c r="F79" s="39" t="str">
        <x:v>事件未处理并模拟到第56场</x:v>
      </x:c>
      <x:c r="G79" s="39" t="str">
        <x:v>继续赛季</x:v>
      </x:c>
      <x:c r="H79" s="39" t="str">
        <x:v>自动按忽略结算并显示截止日失效</x:v>
      </x:c>
      <x:c r="I79" s="39" t="str">
        <x:v>不得在第56场后触发</x:v>
      </x:c>
      <x:c r="J79" s="40" t="str"/>
      <x:c r="K79" s="38" t="str">
        <x:v>未开始</x:v>
      </x:c>
      <x:c r="L79" s="38" t="str"/>
      <x:c r="M79" s="41"/>
      <x:c r="N79" s="38" t="str"/>
      <x:c r="O79" s="38" t="str"/>
    </x:row>
    <x:row r="80" ht="44" customHeight="1">
      <x:c r="A80" s="31" t="str">
        <x:v>FLOW-079</x:v>
      </x:c>
      <x:c r="B80" s="31" t="n">
        <x:v>2017</x:v>
      </x:c>
      <x:c r="C80" s="31" t="str">
        <x:v>cp3_houston</x:v>
      </x:c>
      <x:c r="D80" s="31" t="str">
        <x:v>灯泡组合成军</x:v>
      </x:c>
      <x:c r="E80" s="31" t="str">
        <x:v>赛季后失效</x:v>
      </x:c>
      <x:c r="F80" s="39" t="str">
        <x:v>将当前赛季设为事件年份后一年且无记录</x:v>
      </x:c>
      <x:c r="G80" s="39" t="str">
        <x:v>打开事件详情</x:v>
      </x:c>
      <x:c r="H80" s="39" t="str">
        <x:v>已失效</x:v>
      </x:c>
      <x:c r="I80" s="39" t="str">
        <x:v>球队名单与事件记录不变</x:v>
      </x:c>
      <x:c r="J80" s="40" t="str"/>
      <x:c r="K80" s="38" t="str">
        <x:v>未开始</x:v>
      </x:c>
      <x:c r="L80" s="38" t="str"/>
      <x:c r="M80" s="41"/>
      <x:c r="N80" s="38" t="str"/>
      <x:c r="O80" s="38" t="str"/>
    </x:row>
    <x:row r="81" ht="44" customHeight="1">
      <x:c r="A81" s="31" t="str">
        <x:v>FLOW-080</x:v>
      </x:c>
      <x:c r="B81" s="31" t="n">
        <x:v>2017</x:v>
      </x:c>
      <x:c r="C81" s="31" t="str">
        <x:v>cp3_houston</x:v>
      </x:c>
      <x:c r="D81" s="31" t="str">
        <x:v>灯泡组合成军</x:v>
      </x:c>
      <x:c r="E81" s="31" t="str">
        <x:v>存档恢复</x:v>
      </x:c>
      <x:c r="F81" s="39" t="str">
        <x:v>完成、忽略或广告解锁后退出并重新进入</x:v>
      </x:c>
      <x:c r="G81" s="39" t="str">
        <x:v>读取平行联盟存档</x:v>
      </x:c>
      <x:c r="H81" s="39" t="str">
        <x:v>处理状态和广告解锁保持一致</x:v>
      </x:c>
      <x:c r="I81" s="39" t="str">
        <x:v>不得重复移动球员或重复消耗广告</x:v>
      </x:c>
      <x:c r="J81" s="40" t="str"/>
      <x:c r="K81" s="38" t="str">
        <x:v>未开始</x:v>
      </x:c>
      <x:c r="L81" s="38" t="str"/>
      <x:c r="M81" s="41"/>
      <x:c r="N81" s="38" t="str"/>
      <x:c r="O81" s="38" t="str"/>
    </x:row>
    <x:row r="82" ht="44" customHeight="1">
      <x:c r="A82" s="31" t="str">
        <x:v>FLOW-081</x:v>
      </x:c>
      <x:c r="B82" s="31" t="n">
        <x:v>2017</x:v>
      </x:c>
      <x:c r="C82" s="31" t="str">
        <x:v>kyrie_boston</x:v>
      </x:c>
      <x:c r="D82" s="31" t="str">
        <x:v>欧文接管绿军</x:v>
      </x:c>
      <x:c r="E82" s="31" t="str">
        <x:v>赛季前锁定</x:v>
      </x:c>
      <x:c r="F82" s="39" t="str">
        <x:v>将当前赛季设为事件年份前一年</x:v>
      </x:c>
      <x:c r="G82" s="39" t="str">
        <x:v>打开命定事件详情</x:v>
      </x:c>
      <x:c r="H82" s="39" t="str">
        <x:v>未到赛季；分支按钮不可点击</x:v>
      </x:c>
      <x:c r="I82" s="39" t="str">
        <x:v>球队名单与事件记录不变</x:v>
      </x:c>
      <x:c r="J82" s="40" t="str"/>
      <x:c r="K82" s="38" t="str">
        <x:v>未开始</x:v>
      </x:c>
      <x:c r="L82" s="38" t="str"/>
      <x:c r="M82" s="41"/>
      <x:c r="N82" s="38" t="str"/>
      <x:c r="O82" s="38" t="str"/>
    </x:row>
    <x:row r="83" ht="44" customHeight="1">
      <x:c r="A83" s="31" t="str">
        <x:v>FLOW-082</x:v>
      </x:c>
      <x:c r="B83" s="31" t="n">
        <x:v>2017</x:v>
      </x:c>
      <x:c r="C83" s="31" t="str">
        <x:v>kyrie_boston</x:v>
      </x:c>
      <x:c r="D83" s="31" t="str">
        <x:v>欧文接管绿军</x:v>
      </x:c>
      <x:c r="E83" s="31" t="str">
        <x:v>必须条件缺失</x:v>
      </x:c>
      <x:c r="F83" s="39" t="str">
        <x:v>进入事件赛季并破坏一项必须条件</x:v>
      </x:c>
      <x:c r="G83" s="39" t="str">
        <x:v>尝试触发</x:v>
      </x:c>
      <x:c r="H83" s="39" t="str">
        <x:v>条件不足；不可触发且无广告补必须条件</x:v>
      </x:c>
      <x:c r="I83" s="39" t="str">
        <x:v>球队名单与事件记录不变</x:v>
      </x:c>
      <x:c r="J83" s="40" t="str"/>
      <x:c r="K83" s="38" t="str">
        <x:v>未开始</x:v>
      </x:c>
      <x:c r="L83" s="38" t="str"/>
      <x:c r="M83" s="41"/>
      <x:c r="N83" s="38" t="str"/>
      <x:c r="O83" s="38" t="str"/>
    </x:row>
    <x:row r="84" ht="44" customHeight="1">
      <x:c r="A84" s="31" t="str">
        <x:v>FLOW-083</x:v>
      </x:c>
      <x:c r="B84" s="31" t="n">
        <x:v>2017</x:v>
      </x:c>
      <x:c r="C84" s="31" t="str">
        <x:v>kyrie_boston</x:v>
      </x:c>
      <x:c r="D84" s="31" t="str">
        <x:v>欧文接管绿军</x:v>
      </x:c>
      <x:c r="E84" s="31" t="str">
        <x:v>恰好达到分数</x:v>
      </x:c>
      <x:c r="F84" s="39" t="str">
        <x:v>满足全部必须条件并恰好达到所需分</x:v>
      </x:c>
      <x:c r="G84" s="39" t="str">
        <x:v>选择事件或分支</x:v>
      </x:c>
      <x:c r="H84" s="39" t="str">
        <x:v>可触发</x:v>
      </x:c>
      <x:c r="I84" s="39" t="str">
        <x:v>按结果移动球员、写入完成记录并启用保护期</x:v>
      </x:c>
      <x:c r="J84" s="40" t="str"/>
      <x:c r="K84" s="38" t="str">
        <x:v>未开始</x:v>
      </x:c>
      <x:c r="L84" s="38" t="str"/>
      <x:c r="M84" s="41"/>
      <x:c r="N84" s="38" t="str"/>
      <x:c r="O84" s="38" t="str"/>
    </x:row>
    <x:row r="85" ht="44" customHeight="1">
      <x:c r="A85" s="31" t="str">
        <x:v>FLOW-084</x:v>
      </x:c>
      <x:c r="B85" s="31" t="n">
        <x:v>2017</x:v>
      </x:c>
      <x:c r="C85" s="31" t="str">
        <x:v>kyrie_boston</x:v>
      </x:c>
      <x:c r="D85" s="31" t="str">
        <x:v>欧文接管绿军</x:v>
      </x:c>
      <x:c r="E85" s="31" t="str">
        <x:v>仅差1分广告补足</x:v>
      </x:c>
      <x:c r="F85" s="39" t="str">
        <x:v>满足全部必须条件，计分为2/3或1/2</x:v>
      </x:c>
      <x:c r="G85" s="39" t="str">
        <x:v>点击未满足条件后的广告解锁</x:v>
      </x:c>
      <x:c r="H85" s="39" t="str">
        <x:v>广告完成后条件补足并可触发；失败则恢复按钮</x:v>
      </x:c>
      <x:c r="I85" s="39" t="str">
        <x:v>解锁键写入平行模式存档；经典模式不受影响</x:v>
      </x:c>
      <x:c r="J85" s="40" t="str"/>
      <x:c r="K85" s="38" t="str">
        <x:v>未开始</x:v>
      </x:c>
      <x:c r="L85" s="38" t="str"/>
      <x:c r="M85" s="41"/>
      <x:c r="N85" s="38" t="str"/>
      <x:c r="O85" s="38" t="str"/>
    </x:row>
    <x:row r="86" ht="44" customHeight="1">
      <x:c r="A86" s="31" t="str">
        <x:v>FLOW-085</x:v>
      </x:c>
      <x:c r="B86" s="31" t="n">
        <x:v>2017</x:v>
      </x:c>
      <x:c r="C86" s="31" t="str">
        <x:v>kyrie_boston</x:v>
      </x:c>
      <x:c r="D86" s="31" t="str">
        <x:v>欧文接管绿军</x:v>
      </x:c>
      <x:c r="E86" s="31" t="str">
        <x:v>主动忽略</x:v>
      </x:c>
      <x:c r="F86" s="39" t="str">
        <x:v>进入事件赛季且未过第55场</x:v>
      </x:c>
      <x:c r="G86" s="39" t="str">
        <x:v>点击忽略</x:v>
      </x:c>
      <x:c r="H86" s="39" t="str">
        <x:v>事件进入已忽略列表</x:v>
      </x:c>
      <x:c r="I86" s="39" t="str">
        <x:v>不执行事件变动；特殊后备结果按定义处理</x:v>
      </x:c>
      <x:c r="J86" s="40" t="str"/>
      <x:c r="K86" s="38" t="str">
        <x:v>未开始</x:v>
      </x:c>
      <x:c r="L86" s="38" t="str"/>
      <x:c r="M86" s="41"/>
      <x:c r="N86" s="38" t="str"/>
      <x:c r="O86" s="38" t="str"/>
    </x:row>
    <x:row r="87" ht="44" customHeight="1">
      <x:c r="A87" s="31" t="str">
        <x:v>FLOW-086</x:v>
      </x:c>
      <x:c r="B87" s="31" t="n">
        <x:v>2017</x:v>
      </x:c>
      <x:c r="C87" s="31" t="str">
        <x:v>kyrie_boston</x:v>
      </x:c>
      <x:c r="D87" s="31" t="str">
        <x:v>欧文接管绿军</x:v>
      </x:c>
      <x:c r="E87" s="31" t="str">
        <x:v>截止日自动忽略</x:v>
      </x:c>
      <x:c r="F87" s="39" t="str">
        <x:v>事件未处理并模拟到第56场</x:v>
      </x:c>
      <x:c r="G87" s="39" t="str">
        <x:v>继续赛季</x:v>
      </x:c>
      <x:c r="H87" s="39" t="str">
        <x:v>自动按忽略结算并显示截止日失效</x:v>
      </x:c>
      <x:c r="I87" s="39" t="str">
        <x:v>不得在第56场后触发</x:v>
      </x:c>
      <x:c r="J87" s="40" t="str"/>
      <x:c r="K87" s="38" t="str">
        <x:v>未开始</x:v>
      </x:c>
      <x:c r="L87" s="38" t="str"/>
      <x:c r="M87" s="41"/>
      <x:c r="N87" s="38" t="str"/>
      <x:c r="O87" s="38" t="str"/>
    </x:row>
    <x:row r="88" ht="44" customHeight="1">
      <x:c r="A88" s="31" t="str">
        <x:v>FLOW-087</x:v>
      </x:c>
      <x:c r="B88" s="31" t="n">
        <x:v>2017</x:v>
      </x:c>
      <x:c r="C88" s="31" t="str">
        <x:v>kyrie_boston</x:v>
      </x:c>
      <x:c r="D88" s="31" t="str">
        <x:v>欧文接管绿军</x:v>
      </x:c>
      <x:c r="E88" s="31" t="str">
        <x:v>赛季后失效</x:v>
      </x:c>
      <x:c r="F88" s="39" t="str">
        <x:v>将当前赛季设为事件年份后一年且无记录</x:v>
      </x:c>
      <x:c r="G88" s="39" t="str">
        <x:v>打开事件详情</x:v>
      </x:c>
      <x:c r="H88" s="39" t="str">
        <x:v>已失效</x:v>
      </x:c>
      <x:c r="I88" s="39" t="str">
        <x:v>球队名单与事件记录不变</x:v>
      </x:c>
      <x:c r="J88" s="40" t="str"/>
      <x:c r="K88" s="38" t="str">
        <x:v>未开始</x:v>
      </x:c>
      <x:c r="L88" s="38" t="str"/>
      <x:c r="M88" s="41"/>
      <x:c r="N88" s="38" t="str"/>
      <x:c r="O88" s="38" t="str"/>
    </x:row>
    <x:row r="89" ht="44" customHeight="1">
      <x:c r="A89" s="31" t="str">
        <x:v>FLOW-088</x:v>
      </x:c>
      <x:c r="B89" s="31" t="n">
        <x:v>2017</x:v>
      </x:c>
      <x:c r="C89" s="31" t="str">
        <x:v>kyrie_boston</x:v>
      </x:c>
      <x:c r="D89" s="31" t="str">
        <x:v>欧文接管绿军</x:v>
      </x:c>
      <x:c r="E89" s="31" t="str">
        <x:v>存档恢复</x:v>
      </x:c>
      <x:c r="F89" s="39" t="str">
        <x:v>完成、忽略或广告解锁后退出并重新进入</x:v>
      </x:c>
      <x:c r="G89" s="39" t="str">
        <x:v>读取平行联盟存档</x:v>
      </x:c>
      <x:c r="H89" s="39" t="str">
        <x:v>处理状态和广告解锁保持一致</x:v>
      </x:c>
      <x:c r="I89" s="39" t="str">
        <x:v>不得重复移动球员或重复消耗广告</x:v>
      </x:c>
      <x:c r="J89" s="40" t="str"/>
      <x:c r="K89" s="38" t="str">
        <x:v>未开始</x:v>
      </x:c>
      <x:c r="L89" s="38" t="str"/>
      <x:c r="M89" s="41"/>
      <x:c r="N89" s="38" t="str"/>
      <x:c r="O89" s="38" t="str"/>
    </x:row>
    <x:row r="90" ht="44" customHeight="1">
      <x:c r="A90" s="31" t="str">
        <x:v>FLOW-089</x:v>
      </x:c>
      <x:c r="B90" s="31" t="n">
        <x:v>2018</x:v>
      </x:c>
      <x:c r="C90" s="31" t="str">
        <x:v>lebron_lakers</x:v>
      </x:c>
      <x:c r="D90" s="31" t="str">
        <x:v>詹姆斯的下一站</x:v>
      </x:c>
      <x:c r="E90" s="31" t="str">
        <x:v>赛季前锁定</x:v>
      </x:c>
      <x:c r="F90" s="39" t="str">
        <x:v>将当前赛季设为事件年份前一年</x:v>
      </x:c>
      <x:c r="G90" s="39" t="str">
        <x:v>打开命定事件详情</x:v>
      </x:c>
      <x:c r="H90" s="39" t="str">
        <x:v>未到赛季；分支按钮不可点击</x:v>
      </x:c>
      <x:c r="I90" s="39" t="str">
        <x:v>球队名单与事件记录不变</x:v>
      </x:c>
      <x:c r="J90" s="40" t="str"/>
      <x:c r="K90" s="38" t="str">
        <x:v>未开始</x:v>
      </x:c>
      <x:c r="L90" s="38" t="str"/>
      <x:c r="M90" s="41"/>
      <x:c r="N90" s="38" t="str"/>
      <x:c r="O90" s="38" t="str"/>
    </x:row>
    <x:row r="91" ht="44" customHeight="1">
      <x:c r="A91" s="31" t="str">
        <x:v>FLOW-090</x:v>
      </x:c>
      <x:c r="B91" s="31" t="n">
        <x:v>2018</x:v>
      </x:c>
      <x:c r="C91" s="31" t="str">
        <x:v>lebron_lakers</x:v>
      </x:c>
      <x:c r="D91" s="31" t="str">
        <x:v>詹姆斯的下一站</x:v>
      </x:c>
      <x:c r="E91" s="31" t="str">
        <x:v>必须条件缺失</x:v>
      </x:c>
      <x:c r="F91" s="39" t="str">
        <x:v>进入事件赛季并破坏一项必须条件</x:v>
      </x:c>
      <x:c r="G91" s="39" t="str">
        <x:v>尝试触发</x:v>
      </x:c>
      <x:c r="H91" s="39" t="str">
        <x:v>条件不足；不可触发且无广告补必须条件</x:v>
      </x:c>
      <x:c r="I91" s="39" t="str">
        <x:v>球队名单与事件记录不变</x:v>
      </x:c>
      <x:c r="J91" s="40" t="str"/>
      <x:c r="K91" s="38" t="str">
        <x:v>未开始</x:v>
      </x:c>
      <x:c r="L91" s="38" t="str"/>
      <x:c r="M91" s="41"/>
      <x:c r="N91" s="38" t="str"/>
      <x:c r="O91" s="38" t="str"/>
    </x:row>
    <x:row r="92" ht="44" customHeight="1">
      <x:c r="A92" s="31" t="str">
        <x:v>FLOW-091</x:v>
      </x:c>
      <x:c r="B92" s="31" t="n">
        <x:v>2018</x:v>
      </x:c>
      <x:c r="C92" s="31" t="str">
        <x:v>lebron_lakers</x:v>
      </x:c>
      <x:c r="D92" s="31" t="str">
        <x:v>詹姆斯的下一站</x:v>
      </x:c>
      <x:c r="E92" s="31" t="str">
        <x:v>恰好达到分数</x:v>
      </x:c>
      <x:c r="F92" s="39" t="str">
        <x:v>满足全部必须条件并恰好达到所需分</x:v>
      </x:c>
      <x:c r="G92" s="39" t="str">
        <x:v>选择事件或分支</x:v>
      </x:c>
      <x:c r="H92" s="39" t="str">
        <x:v>可触发</x:v>
      </x:c>
      <x:c r="I92" s="39" t="str">
        <x:v>按结果移动球员、写入完成记录并启用保护期</x:v>
      </x:c>
      <x:c r="J92" s="40" t="str"/>
      <x:c r="K92" s="38" t="str">
        <x:v>未开始</x:v>
      </x:c>
      <x:c r="L92" s="38" t="str"/>
      <x:c r="M92" s="41"/>
      <x:c r="N92" s="38" t="str"/>
      <x:c r="O92" s="38" t="str"/>
    </x:row>
    <x:row r="93" ht="44" customHeight="1">
      <x:c r="A93" s="31" t="str">
        <x:v>FLOW-092</x:v>
      </x:c>
      <x:c r="B93" s="31" t="n">
        <x:v>2018</x:v>
      </x:c>
      <x:c r="C93" s="31" t="str">
        <x:v>lebron_lakers</x:v>
      </x:c>
      <x:c r="D93" s="31" t="str">
        <x:v>詹姆斯的下一站</x:v>
      </x:c>
      <x:c r="E93" s="31" t="str">
        <x:v>仅差1分广告补足</x:v>
      </x:c>
      <x:c r="F93" s="39" t="str">
        <x:v>满足全部必须条件，计分为2/3或1/2</x:v>
      </x:c>
      <x:c r="G93" s="39" t="str">
        <x:v>点击未满足条件后的广告解锁</x:v>
      </x:c>
      <x:c r="H93" s="39" t="str">
        <x:v>广告完成后条件补足并可触发；失败则恢复按钮</x:v>
      </x:c>
      <x:c r="I93" s="39" t="str">
        <x:v>解锁键写入平行模式存档；经典模式不受影响</x:v>
      </x:c>
      <x:c r="J93" s="40" t="str"/>
      <x:c r="K93" s="38" t="str">
        <x:v>未开始</x:v>
      </x:c>
      <x:c r="L93" s="38" t="str"/>
      <x:c r="M93" s="41"/>
      <x:c r="N93" s="38" t="str"/>
      <x:c r="O93" s="38" t="str"/>
    </x:row>
    <x:row r="94" ht="44" customHeight="1">
      <x:c r="A94" s="31" t="str">
        <x:v>FLOW-093</x:v>
      </x:c>
      <x:c r="B94" s="31" t="n">
        <x:v>2018</x:v>
      </x:c>
      <x:c r="C94" s="31" t="str">
        <x:v>lebron_lakers</x:v>
      </x:c>
      <x:c r="D94" s="31" t="str">
        <x:v>詹姆斯的下一站</x:v>
      </x:c>
      <x:c r="E94" s="31" t="str">
        <x:v>主动忽略</x:v>
      </x:c>
      <x:c r="F94" s="39" t="str">
        <x:v>进入事件赛季且未过第55场</x:v>
      </x:c>
      <x:c r="G94" s="39" t="str">
        <x:v>点击忽略</x:v>
      </x:c>
      <x:c r="H94" s="39" t="str">
        <x:v>事件进入已忽略列表</x:v>
      </x:c>
      <x:c r="I94" s="39" t="str">
        <x:v>不执行事件变动；特殊后备结果按定义处理</x:v>
      </x:c>
      <x:c r="J94" s="40" t="str"/>
      <x:c r="K94" s="38" t="str">
        <x:v>未开始</x:v>
      </x:c>
      <x:c r="L94" s="38" t="str"/>
      <x:c r="M94" s="41"/>
      <x:c r="N94" s="38" t="str"/>
      <x:c r="O94" s="38" t="str"/>
    </x:row>
    <x:row r="95" ht="44" customHeight="1">
      <x:c r="A95" s="31" t="str">
        <x:v>FLOW-094</x:v>
      </x:c>
      <x:c r="B95" s="31" t="n">
        <x:v>2018</x:v>
      </x:c>
      <x:c r="C95" s="31" t="str">
        <x:v>lebron_lakers</x:v>
      </x:c>
      <x:c r="D95" s="31" t="str">
        <x:v>詹姆斯的下一站</x:v>
      </x:c>
      <x:c r="E95" s="31" t="str">
        <x:v>截止日自动忽略</x:v>
      </x:c>
      <x:c r="F95" s="39" t="str">
        <x:v>事件未处理并模拟到第56场</x:v>
      </x:c>
      <x:c r="G95" s="39" t="str">
        <x:v>继续赛季</x:v>
      </x:c>
      <x:c r="H95" s="39" t="str">
        <x:v>自动按忽略结算并显示截止日失效</x:v>
      </x:c>
      <x:c r="I95" s="39" t="str">
        <x:v>不得在第56场后触发</x:v>
      </x:c>
      <x:c r="J95" s="40" t="str"/>
      <x:c r="K95" s="38" t="str">
        <x:v>未开始</x:v>
      </x:c>
      <x:c r="L95" s="38" t="str"/>
      <x:c r="M95" s="41"/>
      <x:c r="N95" s="38" t="str"/>
      <x:c r="O95" s="38" t="str"/>
    </x:row>
    <x:row r="96" ht="44" customHeight="1">
      <x:c r="A96" s="31" t="str">
        <x:v>FLOW-095</x:v>
      </x:c>
      <x:c r="B96" s="31" t="n">
        <x:v>2018</x:v>
      </x:c>
      <x:c r="C96" s="31" t="str">
        <x:v>lebron_lakers</x:v>
      </x:c>
      <x:c r="D96" s="31" t="str">
        <x:v>詹姆斯的下一站</x:v>
      </x:c>
      <x:c r="E96" s="31" t="str">
        <x:v>赛季后失效</x:v>
      </x:c>
      <x:c r="F96" s="39" t="str">
        <x:v>将当前赛季设为事件年份后一年且无记录</x:v>
      </x:c>
      <x:c r="G96" s="39" t="str">
        <x:v>打开事件详情</x:v>
      </x:c>
      <x:c r="H96" s="39" t="str">
        <x:v>已失效</x:v>
      </x:c>
      <x:c r="I96" s="39" t="str">
        <x:v>球队名单与事件记录不变</x:v>
      </x:c>
      <x:c r="J96" s="40" t="str"/>
      <x:c r="K96" s="38" t="str">
        <x:v>未开始</x:v>
      </x:c>
      <x:c r="L96" s="38" t="str"/>
      <x:c r="M96" s="41"/>
      <x:c r="N96" s="38" t="str"/>
      <x:c r="O96" s="38" t="str"/>
    </x:row>
    <x:row r="97" ht="44" customHeight="1">
      <x:c r="A97" s="31" t="str">
        <x:v>FLOW-096</x:v>
      </x:c>
      <x:c r="B97" s="31" t="n">
        <x:v>2018</x:v>
      </x:c>
      <x:c r="C97" s="31" t="str">
        <x:v>lebron_lakers</x:v>
      </x:c>
      <x:c r="D97" s="31" t="str">
        <x:v>詹姆斯的下一站</x:v>
      </x:c>
      <x:c r="E97" s="31" t="str">
        <x:v>存档恢复</x:v>
      </x:c>
      <x:c r="F97" s="39" t="str">
        <x:v>完成、忽略或广告解锁后退出并重新进入</x:v>
      </x:c>
      <x:c r="G97" s="39" t="str">
        <x:v>读取平行联盟存档</x:v>
      </x:c>
      <x:c r="H97" s="39" t="str">
        <x:v>处理状态和广告解锁保持一致</x:v>
      </x:c>
      <x:c r="I97" s="39" t="str">
        <x:v>不得重复移动球员或重复消耗广告</x:v>
      </x:c>
      <x:c r="J97" s="40" t="str"/>
      <x:c r="K97" s="38" t="str">
        <x:v>未开始</x:v>
      </x:c>
      <x:c r="L97" s="38" t="str"/>
      <x:c r="M97" s="41"/>
      <x:c r="N97" s="38" t="str"/>
      <x:c r="O97" s="38" t="str"/>
    </x:row>
    <x:row r="98" ht="44" customHeight="1">
      <x:c r="A98" s="31" t="str">
        <x:v>FLOW-097</x:v>
      </x:c>
      <x:c r="B98" s="31" t="n">
        <x:v>2018</x:v>
      </x:c>
      <x:c r="C98" s="31" t="str">
        <x:v>kawhi_toronto</x:v>
      </x:c>
      <x:c r="D98" s="31" t="str">
        <x:v>北境豪赌</x:v>
      </x:c>
      <x:c r="E98" s="31" t="str">
        <x:v>赛季前锁定</x:v>
      </x:c>
      <x:c r="F98" s="39" t="str">
        <x:v>将当前赛季设为事件年份前一年</x:v>
      </x:c>
      <x:c r="G98" s="39" t="str">
        <x:v>打开命定事件详情</x:v>
      </x:c>
      <x:c r="H98" s="39" t="str">
        <x:v>未到赛季；分支按钮不可点击</x:v>
      </x:c>
      <x:c r="I98" s="39" t="str">
        <x:v>球队名单与事件记录不变</x:v>
      </x:c>
      <x:c r="J98" s="40" t="str"/>
      <x:c r="K98" s="38" t="str">
        <x:v>未开始</x:v>
      </x:c>
      <x:c r="L98" s="38" t="str"/>
      <x:c r="M98" s="41"/>
      <x:c r="N98" s="38" t="str"/>
      <x:c r="O98" s="38" t="str"/>
    </x:row>
    <x:row r="99" ht="44" customHeight="1">
      <x:c r="A99" s="31" t="str">
        <x:v>FLOW-098</x:v>
      </x:c>
      <x:c r="B99" s="31" t="n">
        <x:v>2018</x:v>
      </x:c>
      <x:c r="C99" s="31" t="str">
        <x:v>kawhi_toronto</x:v>
      </x:c>
      <x:c r="D99" s="31" t="str">
        <x:v>北境豪赌</x:v>
      </x:c>
      <x:c r="E99" s="31" t="str">
        <x:v>必须条件缺失</x:v>
      </x:c>
      <x:c r="F99" s="39" t="str">
        <x:v>进入事件赛季并破坏一项必须条件</x:v>
      </x:c>
      <x:c r="G99" s="39" t="str">
        <x:v>尝试触发</x:v>
      </x:c>
      <x:c r="H99" s="39" t="str">
        <x:v>条件不足；不可触发且无广告补必须条件</x:v>
      </x:c>
      <x:c r="I99" s="39" t="str">
        <x:v>球队名单与事件记录不变</x:v>
      </x:c>
      <x:c r="J99" s="40" t="str"/>
      <x:c r="K99" s="38" t="str">
        <x:v>未开始</x:v>
      </x:c>
      <x:c r="L99" s="38" t="str"/>
      <x:c r="M99" s="41"/>
      <x:c r="N99" s="38" t="str"/>
      <x:c r="O99" s="38" t="str"/>
    </x:row>
    <x:row r="100" ht="44" customHeight="1">
      <x:c r="A100" s="31" t="str">
        <x:v>FLOW-099</x:v>
      </x:c>
      <x:c r="B100" s="31" t="n">
        <x:v>2018</x:v>
      </x:c>
      <x:c r="C100" s="31" t="str">
        <x:v>kawhi_toronto</x:v>
      </x:c>
      <x:c r="D100" s="31" t="str">
        <x:v>北境豪赌</x:v>
      </x:c>
      <x:c r="E100" s="31" t="str">
        <x:v>恰好达到分数</x:v>
      </x:c>
      <x:c r="F100" s="39" t="str">
        <x:v>满足全部必须条件并恰好达到所需分</x:v>
      </x:c>
      <x:c r="G100" s="39" t="str">
        <x:v>选择事件或分支</x:v>
      </x:c>
      <x:c r="H100" s="39" t="str">
        <x:v>可触发</x:v>
      </x:c>
      <x:c r="I100" s="39" t="str">
        <x:v>按结果移动球员、写入完成记录并启用保护期</x:v>
      </x:c>
      <x:c r="J100" s="40" t="str"/>
      <x:c r="K100" s="38" t="str">
        <x:v>未开始</x:v>
      </x:c>
      <x:c r="L100" s="38" t="str"/>
      <x:c r="M100" s="41"/>
      <x:c r="N100" s="38" t="str"/>
      <x:c r="O100" s="38" t="str"/>
    </x:row>
    <x:row r="101" ht="44" customHeight="1">
      <x:c r="A101" s="31" t="str">
        <x:v>FLOW-100</x:v>
      </x:c>
      <x:c r="B101" s="31" t="n">
        <x:v>2018</x:v>
      </x:c>
      <x:c r="C101" s="31" t="str">
        <x:v>kawhi_toronto</x:v>
      </x:c>
      <x:c r="D101" s="31" t="str">
        <x:v>北境豪赌</x:v>
      </x:c>
      <x:c r="E101" s="31" t="str">
        <x:v>仅差1分广告补足</x:v>
      </x:c>
      <x:c r="F101" s="39" t="str">
        <x:v>满足全部必须条件，计分为2/3或1/2</x:v>
      </x:c>
      <x:c r="G101" s="39" t="str">
        <x:v>点击未满足条件后的广告解锁</x:v>
      </x:c>
      <x:c r="H101" s="39" t="str">
        <x:v>广告完成后条件补足并可触发；失败则恢复按钮</x:v>
      </x:c>
      <x:c r="I101" s="39" t="str">
        <x:v>解锁键写入平行模式存档；经典模式不受影响</x:v>
      </x:c>
      <x:c r="J101" s="40" t="str"/>
      <x:c r="K101" s="38" t="str">
        <x:v>未开始</x:v>
      </x:c>
      <x:c r="L101" s="38" t="str"/>
      <x:c r="M101" s="41"/>
      <x:c r="N101" s="38" t="str"/>
      <x:c r="O101" s="38" t="str"/>
    </x:row>
    <x:row r="102" ht="44" customHeight="1">
      <x:c r="A102" s="31" t="str">
        <x:v>FLOW-101</x:v>
      </x:c>
      <x:c r="B102" s="31" t="n">
        <x:v>2018</x:v>
      </x:c>
      <x:c r="C102" s="31" t="str">
        <x:v>kawhi_toronto</x:v>
      </x:c>
      <x:c r="D102" s="31" t="str">
        <x:v>北境豪赌</x:v>
      </x:c>
      <x:c r="E102" s="31" t="str">
        <x:v>主动忽略</x:v>
      </x:c>
      <x:c r="F102" s="39" t="str">
        <x:v>进入事件赛季且未过第55场</x:v>
      </x:c>
      <x:c r="G102" s="39" t="str">
        <x:v>点击忽略</x:v>
      </x:c>
      <x:c r="H102" s="39" t="str">
        <x:v>事件进入已忽略列表</x:v>
      </x:c>
      <x:c r="I102" s="39" t="str">
        <x:v>不执行事件变动；特殊后备结果按定义处理</x:v>
      </x:c>
      <x:c r="J102" s="40" t="str"/>
      <x:c r="K102" s="38" t="str">
        <x:v>未开始</x:v>
      </x:c>
      <x:c r="L102" s="38" t="str"/>
      <x:c r="M102" s="41"/>
      <x:c r="N102" s="38" t="str"/>
      <x:c r="O102" s="38" t="str"/>
    </x:row>
    <x:row r="103" ht="44" customHeight="1">
      <x:c r="A103" s="31" t="str">
        <x:v>FLOW-102</x:v>
      </x:c>
      <x:c r="B103" s="31" t="n">
        <x:v>2018</x:v>
      </x:c>
      <x:c r="C103" s="31" t="str">
        <x:v>kawhi_toronto</x:v>
      </x:c>
      <x:c r="D103" s="31" t="str">
        <x:v>北境豪赌</x:v>
      </x:c>
      <x:c r="E103" s="31" t="str">
        <x:v>截止日自动忽略</x:v>
      </x:c>
      <x:c r="F103" s="39" t="str">
        <x:v>事件未处理并模拟到第56场</x:v>
      </x:c>
      <x:c r="G103" s="39" t="str">
        <x:v>继续赛季</x:v>
      </x:c>
      <x:c r="H103" s="39" t="str">
        <x:v>自动按忽略结算并显示截止日失效</x:v>
      </x:c>
      <x:c r="I103" s="39" t="str">
        <x:v>不得在第56场后触发</x:v>
      </x:c>
      <x:c r="J103" s="40" t="str"/>
      <x:c r="K103" s="38" t="str">
        <x:v>未开始</x:v>
      </x:c>
      <x:c r="L103" s="38" t="str"/>
      <x:c r="M103" s="41"/>
      <x:c r="N103" s="38" t="str"/>
      <x:c r="O103" s="38" t="str"/>
    </x:row>
    <x:row r="104" ht="44" customHeight="1">
      <x:c r="A104" s="31" t="str">
        <x:v>FLOW-103</x:v>
      </x:c>
      <x:c r="B104" s="31" t="n">
        <x:v>2018</x:v>
      </x:c>
      <x:c r="C104" s="31" t="str">
        <x:v>kawhi_toronto</x:v>
      </x:c>
      <x:c r="D104" s="31" t="str">
        <x:v>北境豪赌</x:v>
      </x:c>
      <x:c r="E104" s="31" t="str">
        <x:v>赛季后失效</x:v>
      </x:c>
      <x:c r="F104" s="39" t="str">
        <x:v>将当前赛季设为事件年份后一年且无记录</x:v>
      </x:c>
      <x:c r="G104" s="39" t="str">
        <x:v>打开事件详情</x:v>
      </x:c>
      <x:c r="H104" s="39" t="str">
        <x:v>已失效</x:v>
      </x:c>
      <x:c r="I104" s="39" t="str">
        <x:v>球队名单与事件记录不变</x:v>
      </x:c>
      <x:c r="J104" s="40" t="str"/>
      <x:c r="K104" s="38" t="str">
        <x:v>未开始</x:v>
      </x:c>
      <x:c r="L104" s="38" t="str"/>
      <x:c r="M104" s="41"/>
      <x:c r="N104" s="38" t="str"/>
      <x:c r="O104" s="38" t="str"/>
    </x:row>
    <x:row r="105" ht="44" customHeight="1">
      <x:c r="A105" s="31" t="str">
        <x:v>FLOW-104</x:v>
      </x:c>
      <x:c r="B105" s="31" t="n">
        <x:v>2018</x:v>
      </x:c>
      <x:c r="C105" s="31" t="str">
        <x:v>kawhi_toronto</x:v>
      </x:c>
      <x:c r="D105" s="31" t="str">
        <x:v>北境豪赌</x:v>
      </x:c>
      <x:c r="E105" s="31" t="str">
        <x:v>存档恢复</x:v>
      </x:c>
      <x:c r="F105" s="39" t="str">
        <x:v>完成、忽略或广告解锁后退出并重新进入</x:v>
      </x:c>
      <x:c r="G105" s="39" t="str">
        <x:v>读取平行联盟存档</x:v>
      </x:c>
      <x:c r="H105" s="39" t="str">
        <x:v>处理状态和广告解锁保持一致</x:v>
      </x:c>
      <x:c r="I105" s="39" t="str">
        <x:v>不得重复移动球员或重复消耗广告</x:v>
      </x:c>
      <x:c r="J105" s="40" t="str"/>
      <x:c r="K105" s="38" t="str">
        <x:v>未开始</x:v>
      </x:c>
      <x:c r="L105" s="38" t="str"/>
      <x:c r="M105" s="41"/>
      <x:c r="N105" s="38" t="str"/>
      <x:c r="O105" s="38" t="str"/>
    </x:row>
    <x:row r="106" ht="44" customHeight="1">
      <x:c r="A106" s="31" t="str">
        <x:v>FLOW-105</x:v>
      </x:c>
      <x:c r="B106" s="31" t="n">
        <x:v>2019</x:v>
      </x:c>
      <x:c r="C106" s="31" t="str">
        <x:v>ad_lakers</x:v>
      </x:c>
      <x:c r="D106" s="31" t="str">
        <x:v>浓眉加盟湖人</x:v>
      </x:c>
      <x:c r="E106" s="31" t="str">
        <x:v>赛季前锁定</x:v>
      </x:c>
      <x:c r="F106" s="39" t="str">
        <x:v>将当前赛季设为事件年份前一年</x:v>
      </x:c>
      <x:c r="G106" s="39" t="str">
        <x:v>打开命定事件详情</x:v>
      </x:c>
      <x:c r="H106" s="39" t="str">
        <x:v>未到赛季；分支按钮不可点击</x:v>
      </x:c>
      <x:c r="I106" s="39" t="str">
        <x:v>球队名单与事件记录不变</x:v>
      </x:c>
      <x:c r="J106" s="40" t="str"/>
      <x:c r="K106" s="38" t="str">
        <x:v>未开始</x:v>
      </x:c>
      <x:c r="L106" s="38" t="str"/>
      <x:c r="M106" s="41"/>
      <x:c r="N106" s="38" t="str"/>
      <x:c r="O106" s="38" t="str"/>
    </x:row>
    <x:row r="107" ht="44" customHeight="1">
      <x:c r="A107" s="31" t="str">
        <x:v>FLOW-106</x:v>
      </x:c>
      <x:c r="B107" s="31" t="n">
        <x:v>2019</x:v>
      </x:c>
      <x:c r="C107" s="31" t="str">
        <x:v>ad_lakers</x:v>
      </x:c>
      <x:c r="D107" s="31" t="str">
        <x:v>浓眉加盟湖人</x:v>
      </x:c>
      <x:c r="E107" s="31" t="str">
        <x:v>必须条件缺失</x:v>
      </x:c>
      <x:c r="F107" s="39" t="str">
        <x:v>进入事件赛季并破坏一项必须条件</x:v>
      </x:c>
      <x:c r="G107" s="39" t="str">
        <x:v>尝试触发</x:v>
      </x:c>
      <x:c r="H107" s="39" t="str">
        <x:v>条件不足；不可触发且无广告补必须条件</x:v>
      </x:c>
      <x:c r="I107" s="39" t="str">
        <x:v>球队名单与事件记录不变</x:v>
      </x:c>
      <x:c r="J107" s="40" t="str"/>
      <x:c r="K107" s="38" t="str">
        <x:v>未开始</x:v>
      </x:c>
      <x:c r="L107" s="38" t="str"/>
      <x:c r="M107" s="41"/>
      <x:c r="N107" s="38" t="str"/>
      <x:c r="O107" s="38" t="str"/>
    </x:row>
    <x:row r="108" ht="44" customHeight="1">
      <x:c r="A108" s="31" t="str">
        <x:v>FLOW-107</x:v>
      </x:c>
      <x:c r="B108" s="31" t="n">
        <x:v>2019</x:v>
      </x:c>
      <x:c r="C108" s="31" t="str">
        <x:v>ad_lakers</x:v>
      </x:c>
      <x:c r="D108" s="31" t="str">
        <x:v>浓眉加盟湖人</x:v>
      </x:c>
      <x:c r="E108" s="31" t="str">
        <x:v>恰好达到分数</x:v>
      </x:c>
      <x:c r="F108" s="39" t="str">
        <x:v>满足全部必须条件并恰好达到所需分</x:v>
      </x:c>
      <x:c r="G108" s="39" t="str">
        <x:v>选择事件或分支</x:v>
      </x:c>
      <x:c r="H108" s="39" t="str">
        <x:v>可触发</x:v>
      </x:c>
      <x:c r="I108" s="39" t="str">
        <x:v>按结果移动球员、写入完成记录并启用保护期</x:v>
      </x:c>
      <x:c r="J108" s="40" t="str"/>
      <x:c r="K108" s="38" t="str">
        <x:v>未开始</x:v>
      </x:c>
      <x:c r="L108" s="38" t="str"/>
      <x:c r="M108" s="41"/>
      <x:c r="N108" s="38" t="str"/>
      <x:c r="O108" s="38" t="str"/>
    </x:row>
    <x:row r="109" ht="44" customHeight="1">
      <x:c r="A109" s="31" t="str">
        <x:v>FLOW-108</x:v>
      </x:c>
      <x:c r="B109" s="31" t="n">
        <x:v>2019</x:v>
      </x:c>
      <x:c r="C109" s="31" t="str">
        <x:v>ad_lakers</x:v>
      </x:c>
      <x:c r="D109" s="31" t="str">
        <x:v>浓眉加盟湖人</x:v>
      </x:c>
      <x:c r="E109" s="31" t="str">
        <x:v>仅差1分广告补足</x:v>
      </x:c>
      <x:c r="F109" s="39" t="str">
        <x:v>满足全部必须条件，计分为2/3或1/2</x:v>
      </x:c>
      <x:c r="G109" s="39" t="str">
        <x:v>点击未满足条件后的广告解锁</x:v>
      </x:c>
      <x:c r="H109" s="39" t="str">
        <x:v>广告完成后条件补足并可触发；失败则恢复按钮</x:v>
      </x:c>
      <x:c r="I109" s="39" t="str">
        <x:v>解锁键写入平行模式存档；经典模式不受影响</x:v>
      </x:c>
      <x:c r="J109" s="40" t="str"/>
      <x:c r="K109" s="38" t="str">
        <x:v>未开始</x:v>
      </x:c>
      <x:c r="L109" s="38" t="str"/>
      <x:c r="M109" s="41"/>
      <x:c r="N109" s="38" t="str"/>
      <x:c r="O109" s="38" t="str"/>
    </x:row>
    <x:row r="110" ht="44" customHeight="1">
      <x:c r="A110" s="31" t="str">
        <x:v>FLOW-109</x:v>
      </x:c>
      <x:c r="B110" s="31" t="n">
        <x:v>2019</x:v>
      </x:c>
      <x:c r="C110" s="31" t="str">
        <x:v>ad_lakers</x:v>
      </x:c>
      <x:c r="D110" s="31" t="str">
        <x:v>浓眉加盟湖人</x:v>
      </x:c>
      <x:c r="E110" s="31" t="str">
        <x:v>主动忽略</x:v>
      </x:c>
      <x:c r="F110" s="39" t="str">
        <x:v>进入事件赛季且未过第55场</x:v>
      </x:c>
      <x:c r="G110" s="39" t="str">
        <x:v>点击忽略</x:v>
      </x:c>
      <x:c r="H110" s="39" t="str">
        <x:v>事件进入已忽略列表</x:v>
      </x:c>
      <x:c r="I110" s="39" t="str">
        <x:v>不执行事件变动；特殊后备结果按定义处理</x:v>
      </x:c>
      <x:c r="J110" s="40" t="str"/>
      <x:c r="K110" s="38" t="str">
        <x:v>未开始</x:v>
      </x:c>
      <x:c r="L110" s="38" t="str"/>
      <x:c r="M110" s="41"/>
      <x:c r="N110" s="38" t="str"/>
      <x:c r="O110" s="38" t="str"/>
    </x:row>
    <x:row r="111" ht="44" customHeight="1">
      <x:c r="A111" s="31" t="str">
        <x:v>FLOW-110</x:v>
      </x:c>
      <x:c r="B111" s="31" t="n">
        <x:v>2019</x:v>
      </x:c>
      <x:c r="C111" s="31" t="str">
        <x:v>ad_lakers</x:v>
      </x:c>
      <x:c r="D111" s="31" t="str">
        <x:v>浓眉加盟湖人</x:v>
      </x:c>
      <x:c r="E111" s="31" t="str">
        <x:v>截止日自动忽略</x:v>
      </x:c>
      <x:c r="F111" s="39" t="str">
        <x:v>事件未处理并模拟到第56场</x:v>
      </x:c>
      <x:c r="G111" s="39" t="str">
        <x:v>继续赛季</x:v>
      </x:c>
      <x:c r="H111" s="39" t="str">
        <x:v>自动按忽略结算并显示截止日失效</x:v>
      </x:c>
      <x:c r="I111" s="39" t="str">
        <x:v>不得在第56场后触发</x:v>
      </x:c>
      <x:c r="J111" s="40" t="str"/>
      <x:c r="K111" s="38" t="str">
        <x:v>未开始</x:v>
      </x:c>
      <x:c r="L111" s="38" t="str"/>
      <x:c r="M111" s="41"/>
      <x:c r="N111" s="38" t="str"/>
      <x:c r="O111" s="38" t="str"/>
    </x:row>
    <x:row r="112" ht="44" customHeight="1">
      <x:c r="A112" s="31" t="str">
        <x:v>FLOW-111</x:v>
      </x:c>
      <x:c r="B112" s="31" t="n">
        <x:v>2019</x:v>
      </x:c>
      <x:c r="C112" s="31" t="str">
        <x:v>ad_lakers</x:v>
      </x:c>
      <x:c r="D112" s="31" t="str">
        <x:v>浓眉加盟湖人</x:v>
      </x:c>
      <x:c r="E112" s="31" t="str">
        <x:v>赛季后失效</x:v>
      </x:c>
      <x:c r="F112" s="39" t="str">
        <x:v>将当前赛季设为事件年份后一年且无记录</x:v>
      </x:c>
      <x:c r="G112" s="39" t="str">
        <x:v>打开事件详情</x:v>
      </x:c>
      <x:c r="H112" s="39" t="str">
        <x:v>已失效</x:v>
      </x:c>
      <x:c r="I112" s="39" t="str">
        <x:v>球队名单与事件记录不变</x:v>
      </x:c>
      <x:c r="J112" s="40" t="str"/>
      <x:c r="K112" s="38" t="str">
        <x:v>未开始</x:v>
      </x:c>
      <x:c r="L112" s="38" t="str"/>
      <x:c r="M112" s="41"/>
      <x:c r="N112" s="38" t="str"/>
      <x:c r="O112" s="38" t="str"/>
    </x:row>
    <x:row r="113" ht="44" customHeight="1">
      <x:c r="A113" s="31" t="str">
        <x:v>FLOW-112</x:v>
      </x:c>
      <x:c r="B113" s="31" t="n">
        <x:v>2019</x:v>
      </x:c>
      <x:c r="C113" s="31" t="str">
        <x:v>ad_lakers</x:v>
      </x:c>
      <x:c r="D113" s="31" t="str">
        <x:v>浓眉加盟湖人</x:v>
      </x:c>
      <x:c r="E113" s="31" t="str">
        <x:v>存档恢复</x:v>
      </x:c>
      <x:c r="F113" s="39" t="str">
        <x:v>完成、忽略或广告解锁后退出并重新进入</x:v>
      </x:c>
      <x:c r="G113" s="39" t="str">
        <x:v>读取平行联盟存档</x:v>
      </x:c>
      <x:c r="H113" s="39" t="str">
        <x:v>处理状态和广告解锁保持一致</x:v>
      </x:c>
      <x:c r="I113" s="39" t="str">
        <x:v>不得重复移动球员或重复消耗广告</x:v>
      </x:c>
      <x:c r="J113" s="40" t="str"/>
      <x:c r="K113" s="38" t="str">
        <x:v>未开始</x:v>
      </x:c>
      <x:c r="L113" s="38" t="str"/>
      <x:c r="M113" s="41"/>
      <x:c r="N113" s="38" t="str"/>
      <x:c r="O113" s="38" t="str"/>
    </x:row>
    <x:row r="114" ht="44" customHeight="1">
      <x:c r="A114" s="31" t="str">
        <x:v>FLOW-113</x:v>
      </x:c>
      <x:c r="B114" s="31" t="n">
        <x:v>2019</x:v>
      </x:c>
      <x:c r="C114" s="31" t="str">
        <x:v>kawhi_pg_clippers</x:v>
      </x:c>
      <x:c r="D114" s="31" t="str">
        <x:v>洛城双翼集结</x:v>
      </x:c>
      <x:c r="E114" s="31" t="str">
        <x:v>赛季前锁定</x:v>
      </x:c>
      <x:c r="F114" s="39" t="str">
        <x:v>将当前赛季设为事件年份前一年</x:v>
      </x:c>
      <x:c r="G114" s="39" t="str">
        <x:v>打开命定事件详情</x:v>
      </x:c>
      <x:c r="H114" s="39" t="str">
        <x:v>未到赛季；分支按钮不可点击</x:v>
      </x:c>
      <x:c r="I114" s="39" t="str">
        <x:v>球队名单与事件记录不变</x:v>
      </x:c>
      <x:c r="J114" s="40" t="str"/>
      <x:c r="K114" s="38" t="str">
        <x:v>未开始</x:v>
      </x:c>
      <x:c r="L114" s="38" t="str"/>
      <x:c r="M114" s="41"/>
      <x:c r="N114" s="38" t="str"/>
      <x:c r="O114" s="38" t="str"/>
    </x:row>
    <x:row r="115" ht="44" customHeight="1">
      <x:c r="A115" s="31" t="str">
        <x:v>FLOW-114</x:v>
      </x:c>
      <x:c r="B115" s="31" t="n">
        <x:v>2019</x:v>
      </x:c>
      <x:c r="C115" s="31" t="str">
        <x:v>kawhi_pg_clippers</x:v>
      </x:c>
      <x:c r="D115" s="31" t="str">
        <x:v>洛城双翼集结</x:v>
      </x:c>
      <x:c r="E115" s="31" t="str">
        <x:v>必须条件缺失</x:v>
      </x:c>
      <x:c r="F115" s="39" t="str">
        <x:v>进入事件赛季并破坏一项必须条件</x:v>
      </x:c>
      <x:c r="G115" s="39" t="str">
        <x:v>尝试触发</x:v>
      </x:c>
      <x:c r="H115" s="39" t="str">
        <x:v>条件不足；不可触发且无广告补必须条件</x:v>
      </x:c>
      <x:c r="I115" s="39" t="str">
        <x:v>球队名单与事件记录不变</x:v>
      </x:c>
      <x:c r="J115" s="40" t="str"/>
      <x:c r="K115" s="38" t="str">
        <x:v>未开始</x:v>
      </x:c>
      <x:c r="L115" s="38" t="str"/>
      <x:c r="M115" s="41"/>
      <x:c r="N115" s="38" t="str"/>
      <x:c r="O115" s="38" t="str"/>
    </x:row>
    <x:row r="116" ht="44" customHeight="1">
      <x:c r="A116" s="31" t="str">
        <x:v>FLOW-115</x:v>
      </x:c>
      <x:c r="B116" s="31" t="n">
        <x:v>2019</x:v>
      </x:c>
      <x:c r="C116" s="31" t="str">
        <x:v>kawhi_pg_clippers</x:v>
      </x:c>
      <x:c r="D116" s="31" t="str">
        <x:v>洛城双翼集结</x:v>
      </x:c>
      <x:c r="E116" s="31" t="str">
        <x:v>恰好达到分数</x:v>
      </x:c>
      <x:c r="F116" s="39" t="str">
        <x:v>满足全部必须条件并恰好达到所需分</x:v>
      </x:c>
      <x:c r="G116" s="39" t="str">
        <x:v>选择事件或分支</x:v>
      </x:c>
      <x:c r="H116" s="39" t="str">
        <x:v>可触发</x:v>
      </x:c>
      <x:c r="I116" s="39" t="str">
        <x:v>按结果移动球员、写入完成记录并启用保护期</x:v>
      </x:c>
      <x:c r="J116" s="40" t="str"/>
      <x:c r="K116" s="38" t="str">
        <x:v>未开始</x:v>
      </x:c>
      <x:c r="L116" s="38" t="str"/>
      <x:c r="M116" s="41"/>
      <x:c r="N116" s="38" t="str"/>
      <x:c r="O116" s="38" t="str"/>
    </x:row>
    <x:row r="117" ht="44" customHeight="1">
      <x:c r="A117" s="31" t="str">
        <x:v>FLOW-116</x:v>
      </x:c>
      <x:c r="B117" s="31" t="n">
        <x:v>2019</x:v>
      </x:c>
      <x:c r="C117" s="31" t="str">
        <x:v>kawhi_pg_clippers</x:v>
      </x:c>
      <x:c r="D117" s="31" t="str">
        <x:v>洛城双翼集结</x:v>
      </x:c>
      <x:c r="E117" s="31" t="str">
        <x:v>仅差1分广告补足</x:v>
      </x:c>
      <x:c r="F117" s="39" t="str">
        <x:v>满足全部必须条件，计分为2/3或1/2</x:v>
      </x:c>
      <x:c r="G117" s="39" t="str">
        <x:v>点击未满足条件后的广告解锁</x:v>
      </x:c>
      <x:c r="H117" s="39" t="str">
        <x:v>广告完成后条件补足并可触发；失败则恢复按钮</x:v>
      </x:c>
      <x:c r="I117" s="39" t="str">
        <x:v>解锁键写入平行模式存档；经典模式不受影响</x:v>
      </x:c>
      <x:c r="J117" s="40" t="str"/>
      <x:c r="K117" s="38" t="str">
        <x:v>未开始</x:v>
      </x:c>
      <x:c r="L117" s="38" t="str"/>
      <x:c r="M117" s="41"/>
      <x:c r="N117" s="38" t="str"/>
      <x:c r="O117" s="38" t="str"/>
    </x:row>
    <x:row r="118" ht="44" customHeight="1">
      <x:c r="A118" s="31" t="str">
        <x:v>FLOW-117</x:v>
      </x:c>
      <x:c r="B118" s="31" t="n">
        <x:v>2019</x:v>
      </x:c>
      <x:c r="C118" s="31" t="str">
        <x:v>kawhi_pg_clippers</x:v>
      </x:c>
      <x:c r="D118" s="31" t="str">
        <x:v>洛城双翼集结</x:v>
      </x:c>
      <x:c r="E118" s="31" t="str">
        <x:v>主动忽略</x:v>
      </x:c>
      <x:c r="F118" s="39" t="str">
        <x:v>进入事件赛季且未过第55场</x:v>
      </x:c>
      <x:c r="G118" s="39" t="str">
        <x:v>点击忽略</x:v>
      </x:c>
      <x:c r="H118" s="39" t="str">
        <x:v>事件进入已忽略列表</x:v>
      </x:c>
      <x:c r="I118" s="39" t="str">
        <x:v>不执行事件变动；特殊后备结果按定义处理</x:v>
      </x:c>
      <x:c r="J118" s="40" t="str"/>
      <x:c r="K118" s="38" t="str">
        <x:v>未开始</x:v>
      </x:c>
      <x:c r="L118" s="38" t="str"/>
      <x:c r="M118" s="41"/>
      <x:c r="N118" s="38" t="str"/>
      <x:c r="O118" s="38" t="str"/>
    </x:row>
    <x:row r="119" ht="44" customHeight="1">
      <x:c r="A119" s="31" t="str">
        <x:v>FLOW-118</x:v>
      </x:c>
      <x:c r="B119" s="31" t="n">
        <x:v>2019</x:v>
      </x:c>
      <x:c r="C119" s="31" t="str">
        <x:v>kawhi_pg_clippers</x:v>
      </x:c>
      <x:c r="D119" s="31" t="str">
        <x:v>洛城双翼集结</x:v>
      </x:c>
      <x:c r="E119" s="31" t="str">
        <x:v>截止日自动忽略</x:v>
      </x:c>
      <x:c r="F119" s="39" t="str">
        <x:v>事件未处理并模拟到第56场</x:v>
      </x:c>
      <x:c r="G119" s="39" t="str">
        <x:v>继续赛季</x:v>
      </x:c>
      <x:c r="H119" s="39" t="str">
        <x:v>自动按忽略结算并显示截止日失效</x:v>
      </x:c>
      <x:c r="I119" s="39" t="str">
        <x:v>不得在第56场后触发</x:v>
      </x:c>
      <x:c r="J119" s="40" t="str"/>
      <x:c r="K119" s="38" t="str">
        <x:v>未开始</x:v>
      </x:c>
      <x:c r="L119" s="38" t="str"/>
      <x:c r="M119" s="41"/>
      <x:c r="N119" s="38" t="str"/>
      <x:c r="O119" s="38" t="str"/>
    </x:row>
    <x:row r="120" ht="44" customHeight="1">
      <x:c r="A120" s="31" t="str">
        <x:v>FLOW-119</x:v>
      </x:c>
      <x:c r="B120" s="31" t="n">
        <x:v>2019</x:v>
      </x:c>
      <x:c r="C120" s="31" t="str">
        <x:v>kawhi_pg_clippers</x:v>
      </x:c>
      <x:c r="D120" s="31" t="str">
        <x:v>洛城双翼集结</x:v>
      </x:c>
      <x:c r="E120" s="31" t="str">
        <x:v>赛季后失效</x:v>
      </x:c>
      <x:c r="F120" s="39" t="str">
        <x:v>将当前赛季设为事件年份后一年且无记录</x:v>
      </x:c>
      <x:c r="G120" s="39" t="str">
        <x:v>打开事件详情</x:v>
      </x:c>
      <x:c r="H120" s="39" t="str">
        <x:v>已失效</x:v>
      </x:c>
      <x:c r="I120" s="39" t="str">
        <x:v>球队名单与事件记录不变</x:v>
      </x:c>
      <x:c r="J120" s="40" t="str"/>
      <x:c r="K120" s="38" t="str">
        <x:v>未开始</x:v>
      </x:c>
      <x:c r="L120" s="38" t="str"/>
      <x:c r="M120" s="41"/>
      <x:c r="N120" s="38" t="str"/>
      <x:c r="O120" s="38" t="str"/>
    </x:row>
    <x:row r="121" ht="44" customHeight="1">
      <x:c r="A121" s="31" t="str">
        <x:v>FLOW-120</x:v>
      </x:c>
      <x:c r="B121" s="31" t="n">
        <x:v>2019</x:v>
      </x:c>
      <x:c r="C121" s="31" t="str">
        <x:v>kawhi_pg_clippers</x:v>
      </x:c>
      <x:c r="D121" s="31" t="str">
        <x:v>洛城双翼集结</x:v>
      </x:c>
      <x:c r="E121" s="31" t="str">
        <x:v>存档恢复</x:v>
      </x:c>
      <x:c r="F121" s="39" t="str">
        <x:v>完成、忽略或广告解锁后退出并重新进入</x:v>
      </x:c>
      <x:c r="G121" s="39" t="str">
        <x:v>读取平行联盟存档</x:v>
      </x:c>
      <x:c r="H121" s="39" t="str">
        <x:v>处理状态和广告解锁保持一致</x:v>
      </x:c>
      <x:c r="I121" s="39" t="str">
        <x:v>不得重复移动球员或重复消耗广告</x:v>
      </x:c>
      <x:c r="J121" s="40" t="str"/>
      <x:c r="K121" s="38" t="str">
        <x:v>未开始</x:v>
      </x:c>
      <x:c r="L121" s="38" t="str"/>
      <x:c r="M121" s="41"/>
      <x:c r="N121" s="38" t="str"/>
      <x:c r="O121" s="38" t="str"/>
    </x:row>
    <x:row r="122" ht="44" customHeight="1">
      <x:c r="A122" s="31" t="str">
        <x:v>FLOW-121</x:v>
      </x:c>
      <x:c r="B122" s="31" t="n">
        <x:v>2019</x:v>
      </x:c>
      <x:c r="C122" s="31" t="str">
        <x:v>westbrook_houston</x:v>
      </x:c>
      <x:c r="D122" s="31" t="str">
        <x:v>昔日兄弟再聚首</x:v>
      </x:c>
      <x:c r="E122" s="31" t="str">
        <x:v>赛季前锁定</x:v>
      </x:c>
      <x:c r="F122" s="39" t="str">
        <x:v>将当前赛季设为事件年份前一年</x:v>
      </x:c>
      <x:c r="G122" s="39" t="str">
        <x:v>打开命定事件详情</x:v>
      </x:c>
      <x:c r="H122" s="39" t="str">
        <x:v>未到赛季；分支按钮不可点击</x:v>
      </x:c>
      <x:c r="I122" s="39" t="str">
        <x:v>球队名单与事件记录不变</x:v>
      </x:c>
      <x:c r="J122" s="40" t="str"/>
      <x:c r="K122" s="38" t="str">
        <x:v>未开始</x:v>
      </x:c>
      <x:c r="L122" s="38" t="str"/>
      <x:c r="M122" s="41"/>
      <x:c r="N122" s="38" t="str"/>
      <x:c r="O122" s="38" t="str"/>
    </x:row>
    <x:row r="123" ht="44" customHeight="1">
      <x:c r="A123" s="31" t="str">
        <x:v>FLOW-122</x:v>
      </x:c>
      <x:c r="B123" s="31" t="n">
        <x:v>2019</x:v>
      </x:c>
      <x:c r="C123" s="31" t="str">
        <x:v>westbrook_houston</x:v>
      </x:c>
      <x:c r="D123" s="31" t="str">
        <x:v>昔日兄弟再聚首</x:v>
      </x:c>
      <x:c r="E123" s="31" t="str">
        <x:v>必须条件缺失</x:v>
      </x:c>
      <x:c r="F123" s="39" t="str">
        <x:v>进入事件赛季并破坏一项必须条件</x:v>
      </x:c>
      <x:c r="G123" s="39" t="str">
        <x:v>尝试触发</x:v>
      </x:c>
      <x:c r="H123" s="39" t="str">
        <x:v>条件不足；不可触发且无广告补必须条件</x:v>
      </x:c>
      <x:c r="I123" s="39" t="str">
        <x:v>球队名单与事件记录不变</x:v>
      </x:c>
      <x:c r="J123" s="40" t="str"/>
      <x:c r="K123" s="38" t="str">
        <x:v>未开始</x:v>
      </x:c>
      <x:c r="L123" s="38" t="str"/>
      <x:c r="M123" s="41"/>
      <x:c r="N123" s="38" t="str"/>
      <x:c r="O123" s="38" t="str"/>
    </x:row>
    <x:row r="124" ht="44" customHeight="1">
      <x:c r="A124" s="31" t="str">
        <x:v>FLOW-123</x:v>
      </x:c>
      <x:c r="B124" s="31" t="n">
        <x:v>2019</x:v>
      </x:c>
      <x:c r="C124" s="31" t="str">
        <x:v>westbrook_houston</x:v>
      </x:c>
      <x:c r="D124" s="31" t="str">
        <x:v>昔日兄弟再聚首</x:v>
      </x:c>
      <x:c r="E124" s="31" t="str">
        <x:v>恰好达到分数</x:v>
      </x:c>
      <x:c r="F124" s="39" t="str">
        <x:v>满足全部必须条件并恰好达到所需分</x:v>
      </x:c>
      <x:c r="G124" s="39" t="str">
        <x:v>选择事件或分支</x:v>
      </x:c>
      <x:c r="H124" s="39" t="str">
        <x:v>可触发</x:v>
      </x:c>
      <x:c r="I124" s="39" t="str">
        <x:v>按结果移动球员、写入完成记录并启用保护期</x:v>
      </x:c>
      <x:c r="J124" s="40" t="str"/>
      <x:c r="K124" s="38" t="str">
        <x:v>未开始</x:v>
      </x:c>
      <x:c r="L124" s="38" t="str"/>
      <x:c r="M124" s="41"/>
      <x:c r="N124" s="38" t="str"/>
      <x:c r="O124" s="38" t="str"/>
    </x:row>
    <x:row r="125" ht="44" customHeight="1">
      <x:c r="A125" s="31" t="str">
        <x:v>FLOW-124</x:v>
      </x:c>
      <x:c r="B125" s="31" t="n">
        <x:v>2019</x:v>
      </x:c>
      <x:c r="C125" s="31" t="str">
        <x:v>westbrook_houston</x:v>
      </x:c>
      <x:c r="D125" s="31" t="str">
        <x:v>昔日兄弟再聚首</x:v>
      </x:c>
      <x:c r="E125" s="31" t="str">
        <x:v>仅差1分广告补足</x:v>
      </x:c>
      <x:c r="F125" s="39" t="str">
        <x:v>满足全部必须条件，计分为2/3或1/2</x:v>
      </x:c>
      <x:c r="G125" s="39" t="str">
        <x:v>点击未满足条件后的广告解锁</x:v>
      </x:c>
      <x:c r="H125" s="39" t="str">
        <x:v>广告完成后条件补足并可触发；失败则恢复按钮</x:v>
      </x:c>
      <x:c r="I125" s="39" t="str">
        <x:v>解锁键写入平行模式存档；经典模式不受影响</x:v>
      </x:c>
      <x:c r="J125" s="40" t="str"/>
      <x:c r="K125" s="38" t="str">
        <x:v>未开始</x:v>
      </x:c>
      <x:c r="L125" s="38" t="str"/>
      <x:c r="M125" s="41"/>
      <x:c r="N125" s="38" t="str"/>
      <x:c r="O125" s="38" t="str"/>
    </x:row>
    <x:row r="126" ht="44" customHeight="1">
      <x:c r="A126" s="31" t="str">
        <x:v>FLOW-125</x:v>
      </x:c>
      <x:c r="B126" s="31" t="n">
        <x:v>2019</x:v>
      </x:c>
      <x:c r="C126" s="31" t="str">
        <x:v>westbrook_houston</x:v>
      </x:c>
      <x:c r="D126" s="31" t="str">
        <x:v>昔日兄弟再聚首</x:v>
      </x:c>
      <x:c r="E126" s="31" t="str">
        <x:v>主动忽略</x:v>
      </x:c>
      <x:c r="F126" s="39" t="str">
        <x:v>进入事件赛季且未过第55场</x:v>
      </x:c>
      <x:c r="G126" s="39" t="str">
        <x:v>点击忽略</x:v>
      </x:c>
      <x:c r="H126" s="39" t="str">
        <x:v>事件进入已忽略列表</x:v>
      </x:c>
      <x:c r="I126" s="39" t="str">
        <x:v>不执行事件变动；特殊后备结果按定义处理</x:v>
      </x:c>
      <x:c r="J126" s="40" t="str"/>
      <x:c r="K126" s="38" t="str">
        <x:v>未开始</x:v>
      </x:c>
      <x:c r="L126" s="38" t="str"/>
      <x:c r="M126" s="41"/>
      <x:c r="N126" s="38" t="str"/>
      <x:c r="O126" s="38" t="str"/>
    </x:row>
    <x:row r="127" ht="44" customHeight="1">
      <x:c r="A127" s="31" t="str">
        <x:v>FLOW-126</x:v>
      </x:c>
      <x:c r="B127" s="31" t="n">
        <x:v>2019</x:v>
      </x:c>
      <x:c r="C127" s="31" t="str">
        <x:v>westbrook_houston</x:v>
      </x:c>
      <x:c r="D127" s="31" t="str">
        <x:v>昔日兄弟再聚首</x:v>
      </x:c>
      <x:c r="E127" s="31" t="str">
        <x:v>截止日自动忽略</x:v>
      </x:c>
      <x:c r="F127" s="39" t="str">
        <x:v>事件未处理并模拟到第56场</x:v>
      </x:c>
      <x:c r="G127" s="39" t="str">
        <x:v>继续赛季</x:v>
      </x:c>
      <x:c r="H127" s="39" t="str">
        <x:v>自动按忽略结算并显示截止日失效</x:v>
      </x:c>
      <x:c r="I127" s="39" t="str">
        <x:v>不得在第56场后触发</x:v>
      </x:c>
      <x:c r="J127" s="40" t="str"/>
      <x:c r="K127" s="38" t="str">
        <x:v>未开始</x:v>
      </x:c>
      <x:c r="L127" s="38" t="str"/>
      <x:c r="M127" s="41"/>
      <x:c r="N127" s="38" t="str"/>
      <x:c r="O127" s="38" t="str"/>
    </x:row>
    <x:row r="128" ht="44" customHeight="1">
      <x:c r="A128" s="31" t="str">
        <x:v>FLOW-127</x:v>
      </x:c>
      <x:c r="B128" s="31" t="n">
        <x:v>2019</x:v>
      </x:c>
      <x:c r="C128" s="31" t="str">
        <x:v>westbrook_houston</x:v>
      </x:c>
      <x:c r="D128" s="31" t="str">
        <x:v>昔日兄弟再聚首</x:v>
      </x:c>
      <x:c r="E128" s="31" t="str">
        <x:v>赛季后失效</x:v>
      </x:c>
      <x:c r="F128" s="39" t="str">
        <x:v>将当前赛季设为事件年份后一年且无记录</x:v>
      </x:c>
      <x:c r="G128" s="39" t="str">
        <x:v>打开事件详情</x:v>
      </x:c>
      <x:c r="H128" s="39" t="str">
        <x:v>已失效</x:v>
      </x:c>
      <x:c r="I128" s="39" t="str">
        <x:v>球队名单与事件记录不变</x:v>
      </x:c>
      <x:c r="J128" s="40" t="str"/>
      <x:c r="K128" s="38" t="str">
        <x:v>未开始</x:v>
      </x:c>
      <x:c r="L128" s="38" t="str"/>
      <x:c r="M128" s="41"/>
      <x:c r="N128" s="38" t="str"/>
      <x:c r="O128" s="38" t="str"/>
    </x:row>
    <x:row r="129" ht="44" customHeight="1">
      <x:c r="A129" s="31" t="str">
        <x:v>FLOW-128</x:v>
      </x:c>
      <x:c r="B129" s="31" t="n">
        <x:v>2019</x:v>
      </x:c>
      <x:c r="C129" s="31" t="str">
        <x:v>westbrook_houston</x:v>
      </x:c>
      <x:c r="D129" s="31" t="str">
        <x:v>昔日兄弟再聚首</x:v>
      </x:c>
      <x:c r="E129" s="31" t="str">
        <x:v>存档恢复</x:v>
      </x:c>
      <x:c r="F129" s="39" t="str">
        <x:v>完成、忽略或广告解锁后退出并重新进入</x:v>
      </x:c>
      <x:c r="G129" s="39" t="str">
        <x:v>读取平行联盟存档</x:v>
      </x:c>
      <x:c r="H129" s="39" t="str">
        <x:v>处理状态和广告解锁保持一致</x:v>
      </x:c>
      <x:c r="I129" s="39" t="str">
        <x:v>不得重复移动球员或重复消耗广告</x:v>
      </x:c>
      <x:c r="J129" s="40" t="str"/>
      <x:c r="K129" s="38" t="str">
        <x:v>未开始</x:v>
      </x:c>
      <x:c r="L129" s="38" t="str"/>
      <x:c r="M129" s="41"/>
      <x:c r="N129" s="38" t="str"/>
      <x:c r="O129" s="38" t="str"/>
    </x:row>
    <x:row r="130" ht="44" customHeight="1">
      <x:c r="A130" s="31" t="str">
        <x:v>FLOW-129</x:v>
      </x:c>
      <x:c r="B130" s="31" t="n">
        <x:v>2019</x:v>
      </x:c>
      <x:c r="C130" s="31" t="str">
        <x:v>durant_kyrie_brooklyn</x:v>
      </x:c>
      <x:c r="D130" s="31" t="str">
        <x:v>双星汇聚布鲁克林</x:v>
      </x:c>
      <x:c r="E130" s="31" t="str">
        <x:v>赛季前锁定</x:v>
      </x:c>
      <x:c r="F130" s="39" t="str">
        <x:v>将当前赛季设为事件年份前一年</x:v>
      </x:c>
      <x:c r="G130" s="39" t="str">
        <x:v>打开命定事件详情</x:v>
      </x:c>
      <x:c r="H130" s="39" t="str">
        <x:v>未到赛季；分支按钮不可点击</x:v>
      </x:c>
      <x:c r="I130" s="39" t="str">
        <x:v>球队名单与事件记录不变</x:v>
      </x:c>
      <x:c r="J130" s="40" t="str"/>
      <x:c r="K130" s="38" t="str">
        <x:v>未开始</x:v>
      </x:c>
      <x:c r="L130" s="38" t="str"/>
      <x:c r="M130" s="41"/>
      <x:c r="N130" s="38" t="str"/>
      <x:c r="O130" s="38" t="str"/>
    </x:row>
    <x:row r="131" ht="44" customHeight="1">
      <x:c r="A131" s="31" t="str">
        <x:v>FLOW-130</x:v>
      </x:c>
      <x:c r="B131" s="31" t="n">
        <x:v>2019</x:v>
      </x:c>
      <x:c r="C131" s="31" t="str">
        <x:v>durant_kyrie_brooklyn</x:v>
      </x:c>
      <x:c r="D131" s="31" t="str">
        <x:v>双星汇聚布鲁克林</x:v>
      </x:c>
      <x:c r="E131" s="31" t="str">
        <x:v>必须条件缺失</x:v>
      </x:c>
      <x:c r="F131" s="39" t="str">
        <x:v>进入事件赛季并破坏一项必须条件</x:v>
      </x:c>
      <x:c r="G131" s="39" t="str">
        <x:v>尝试触发</x:v>
      </x:c>
      <x:c r="H131" s="39" t="str">
        <x:v>条件不足；不可触发且无广告补必须条件</x:v>
      </x:c>
      <x:c r="I131" s="39" t="str">
        <x:v>球队名单与事件记录不变</x:v>
      </x:c>
      <x:c r="J131" s="40" t="str"/>
      <x:c r="K131" s="38" t="str">
        <x:v>未开始</x:v>
      </x:c>
      <x:c r="L131" s="38" t="str"/>
      <x:c r="M131" s="41"/>
      <x:c r="N131" s="38" t="str"/>
      <x:c r="O131" s="38" t="str"/>
    </x:row>
    <x:row r="132" ht="44" customHeight="1">
      <x:c r="A132" s="31" t="str">
        <x:v>FLOW-131</x:v>
      </x:c>
      <x:c r="B132" s="31" t="n">
        <x:v>2019</x:v>
      </x:c>
      <x:c r="C132" s="31" t="str">
        <x:v>durant_kyrie_brooklyn</x:v>
      </x:c>
      <x:c r="D132" s="31" t="str">
        <x:v>双星汇聚布鲁克林</x:v>
      </x:c>
      <x:c r="E132" s="31" t="str">
        <x:v>恰好达到分数</x:v>
      </x:c>
      <x:c r="F132" s="39" t="str">
        <x:v>满足全部必须条件并恰好达到所需分</x:v>
      </x:c>
      <x:c r="G132" s="39" t="str">
        <x:v>选择事件或分支</x:v>
      </x:c>
      <x:c r="H132" s="39" t="str">
        <x:v>可触发</x:v>
      </x:c>
      <x:c r="I132" s="39" t="str">
        <x:v>按结果移动球员、写入完成记录并启用保护期</x:v>
      </x:c>
      <x:c r="J132" s="40" t="str"/>
      <x:c r="K132" s="38" t="str">
        <x:v>未开始</x:v>
      </x:c>
      <x:c r="L132" s="38" t="str"/>
      <x:c r="M132" s="41"/>
      <x:c r="N132" s="38" t="str"/>
      <x:c r="O132" s="38" t="str"/>
    </x:row>
    <x:row r="133" ht="44" customHeight="1">
      <x:c r="A133" s="31" t="str">
        <x:v>FLOW-132</x:v>
      </x:c>
      <x:c r="B133" s="31" t="n">
        <x:v>2019</x:v>
      </x:c>
      <x:c r="C133" s="31" t="str">
        <x:v>durant_kyrie_brooklyn</x:v>
      </x:c>
      <x:c r="D133" s="31" t="str">
        <x:v>双星汇聚布鲁克林</x:v>
      </x:c>
      <x:c r="E133" s="31" t="str">
        <x:v>仅差1分广告补足</x:v>
      </x:c>
      <x:c r="F133" s="39" t="str">
        <x:v>满足全部必须条件，计分为2/3或1/2</x:v>
      </x:c>
      <x:c r="G133" s="39" t="str">
        <x:v>点击未满足条件后的广告解锁</x:v>
      </x:c>
      <x:c r="H133" s="39" t="str">
        <x:v>广告完成后条件补足并可触发；失败则恢复按钮</x:v>
      </x:c>
      <x:c r="I133" s="39" t="str">
        <x:v>解锁键写入平行模式存档；经典模式不受影响</x:v>
      </x:c>
      <x:c r="J133" s="40" t="str"/>
      <x:c r="K133" s="38" t="str">
        <x:v>未开始</x:v>
      </x:c>
      <x:c r="L133" s="38" t="str"/>
      <x:c r="M133" s="41"/>
      <x:c r="N133" s="38" t="str"/>
      <x:c r="O133" s="38" t="str"/>
    </x:row>
    <x:row r="134" ht="44" customHeight="1">
      <x:c r="A134" s="31" t="str">
        <x:v>FLOW-133</x:v>
      </x:c>
      <x:c r="B134" s="31" t="n">
        <x:v>2019</x:v>
      </x:c>
      <x:c r="C134" s="31" t="str">
        <x:v>durant_kyrie_brooklyn</x:v>
      </x:c>
      <x:c r="D134" s="31" t="str">
        <x:v>双星汇聚布鲁克林</x:v>
      </x:c>
      <x:c r="E134" s="31" t="str">
        <x:v>主动忽略</x:v>
      </x:c>
      <x:c r="F134" s="39" t="str">
        <x:v>进入事件赛季且未过第55场</x:v>
      </x:c>
      <x:c r="G134" s="39" t="str">
        <x:v>点击忽略</x:v>
      </x:c>
      <x:c r="H134" s="39" t="str">
        <x:v>事件进入已忽略列表</x:v>
      </x:c>
      <x:c r="I134" s="39" t="str">
        <x:v>不执行事件变动；特殊后备结果按定义处理</x:v>
      </x:c>
      <x:c r="J134" s="40" t="str"/>
      <x:c r="K134" s="38" t="str">
        <x:v>未开始</x:v>
      </x:c>
      <x:c r="L134" s="38" t="str"/>
      <x:c r="M134" s="41"/>
      <x:c r="N134" s="38" t="str"/>
      <x:c r="O134" s="38" t="str"/>
    </x:row>
    <x:row r="135" ht="44" customHeight="1">
      <x:c r="A135" s="31" t="str">
        <x:v>FLOW-134</x:v>
      </x:c>
      <x:c r="B135" s="31" t="n">
        <x:v>2019</x:v>
      </x:c>
      <x:c r="C135" s="31" t="str">
        <x:v>durant_kyrie_brooklyn</x:v>
      </x:c>
      <x:c r="D135" s="31" t="str">
        <x:v>双星汇聚布鲁克林</x:v>
      </x:c>
      <x:c r="E135" s="31" t="str">
        <x:v>截止日自动忽略</x:v>
      </x:c>
      <x:c r="F135" s="39" t="str">
        <x:v>事件未处理并模拟到第56场</x:v>
      </x:c>
      <x:c r="G135" s="39" t="str">
        <x:v>继续赛季</x:v>
      </x:c>
      <x:c r="H135" s="39" t="str">
        <x:v>自动按忽略结算并显示截止日失效</x:v>
      </x:c>
      <x:c r="I135" s="39" t="str">
        <x:v>不得在第56场后触发</x:v>
      </x:c>
      <x:c r="J135" s="40" t="str"/>
      <x:c r="K135" s="38" t="str">
        <x:v>未开始</x:v>
      </x:c>
      <x:c r="L135" s="38" t="str"/>
      <x:c r="M135" s="41"/>
      <x:c r="N135" s="38" t="str"/>
      <x:c r="O135" s="38" t="str"/>
    </x:row>
    <x:row r="136" ht="44" customHeight="1">
      <x:c r="A136" s="31" t="str">
        <x:v>FLOW-135</x:v>
      </x:c>
      <x:c r="B136" s="31" t="n">
        <x:v>2019</x:v>
      </x:c>
      <x:c r="C136" s="31" t="str">
        <x:v>durant_kyrie_brooklyn</x:v>
      </x:c>
      <x:c r="D136" s="31" t="str">
        <x:v>双星汇聚布鲁克林</x:v>
      </x:c>
      <x:c r="E136" s="31" t="str">
        <x:v>赛季后失效</x:v>
      </x:c>
      <x:c r="F136" s="39" t="str">
        <x:v>将当前赛季设为事件年份后一年且无记录</x:v>
      </x:c>
      <x:c r="G136" s="39" t="str">
        <x:v>打开事件详情</x:v>
      </x:c>
      <x:c r="H136" s="39" t="str">
        <x:v>已失效</x:v>
      </x:c>
      <x:c r="I136" s="39" t="str">
        <x:v>球队名单与事件记录不变</x:v>
      </x:c>
      <x:c r="J136" s="40" t="str"/>
      <x:c r="K136" s="38" t="str">
        <x:v>未开始</x:v>
      </x:c>
      <x:c r="L136" s="38" t="str"/>
      <x:c r="M136" s="41"/>
      <x:c r="N136" s="38" t="str"/>
      <x:c r="O136" s="38" t="str"/>
    </x:row>
    <x:row r="137" ht="44" customHeight="1">
      <x:c r="A137" s="31" t="str">
        <x:v>FLOW-136</x:v>
      </x:c>
      <x:c r="B137" s="31" t="n">
        <x:v>2019</x:v>
      </x:c>
      <x:c r="C137" s="31" t="str">
        <x:v>durant_kyrie_brooklyn</x:v>
      </x:c>
      <x:c r="D137" s="31" t="str">
        <x:v>双星汇聚布鲁克林</x:v>
      </x:c>
      <x:c r="E137" s="31" t="str">
        <x:v>存档恢复</x:v>
      </x:c>
      <x:c r="F137" s="39" t="str">
        <x:v>完成、忽略或广告解锁后退出并重新进入</x:v>
      </x:c>
      <x:c r="G137" s="39" t="str">
        <x:v>读取平行联盟存档</x:v>
      </x:c>
      <x:c r="H137" s="39" t="str">
        <x:v>处理状态和广告解锁保持一致</x:v>
      </x:c>
      <x:c r="I137" s="39" t="str">
        <x:v>不得重复移动球员或重复消耗广告</x:v>
      </x:c>
      <x:c r="J137" s="40" t="str"/>
      <x:c r="K137" s="38" t="str">
        <x:v>未开始</x:v>
      </x:c>
      <x:c r="L137" s="38" t="str"/>
      <x:c r="M137" s="41"/>
      <x:c r="N137" s="38" t="str"/>
      <x:c r="O137" s="38" t="str"/>
    </x:row>
    <x:row r="138" ht="44" customHeight="1">
      <x:c r="A138" s="31" t="str">
        <x:v>FLOW-137</x:v>
      </x:c>
      <x:c r="B138" s="31" t="n">
        <x:v>2020</x:v>
      </x:c>
      <x:c r="C138" s="31" t="str">
        <x:v>paul_suns</x:v>
      </x:c>
      <x:c r="D138" s="31" t="str">
        <x:v>保罗加盟太阳</x:v>
      </x:c>
      <x:c r="E138" s="31" t="str">
        <x:v>赛季前锁定</x:v>
      </x:c>
      <x:c r="F138" s="39" t="str">
        <x:v>将当前赛季设为事件年份前一年</x:v>
      </x:c>
      <x:c r="G138" s="39" t="str">
        <x:v>打开命定事件详情</x:v>
      </x:c>
      <x:c r="H138" s="39" t="str">
        <x:v>未到赛季；分支按钮不可点击</x:v>
      </x:c>
      <x:c r="I138" s="39" t="str">
        <x:v>球队名单与事件记录不变</x:v>
      </x:c>
      <x:c r="J138" s="40" t="str"/>
      <x:c r="K138" s="38" t="str">
        <x:v>未开始</x:v>
      </x:c>
      <x:c r="L138" s="38" t="str"/>
      <x:c r="M138" s="41"/>
      <x:c r="N138" s="38" t="str"/>
      <x:c r="O138" s="38" t="str"/>
    </x:row>
    <x:row r="139" ht="44" customHeight="1">
      <x:c r="A139" s="31" t="str">
        <x:v>FLOW-138</x:v>
      </x:c>
      <x:c r="B139" s="31" t="n">
        <x:v>2020</x:v>
      </x:c>
      <x:c r="C139" s="31" t="str">
        <x:v>paul_suns</x:v>
      </x:c>
      <x:c r="D139" s="31" t="str">
        <x:v>保罗加盟太阳</x:v>
      </x:c>
      <x:c r="E139" s="31" t="str">
        <x:v>必须条件缺失</x:v>
      </x:c>
      <x:c r="F139" s="39" t="str">
        <x:v>进入事件赛季并破坏一项必须条件</x:v>
      </x:c>
      <x:c r="G139" s="39" t="str">
        <x:v>尝试触发</x:v>
      </x:c>
      <x:c r="H139" s="39" t="str">
        <x:v>条件不足；不可触发且无广告补必须条件</x:v>
      </x:c>
      <x:c r="I139" s="39" t="str">
        <x:v>球队名单与事件记录不变</x:v>
      </x:c>
      <x:c r="J139" s="40" t="str"/>
      <x:c r="K139" s="38" t="str">
        <x:v>未开始</x:v>
      </x:c>
      <x:c r="L139" s="38" t="str"/>
      <x:c r="M139" s="41"/>
      <x:c r="N139" s="38" t="str"/>
      <x:c r="O139" s="38" t="str"/>
    </x:row>
    <x:row r="140" ht="44" customHeight="1">
      <x:c r="A140" s="31" t="str">
        <x:v>FLOW-139</x:v>
      </x:c>
      <x:c r="B140" s="31" t="n">
        <x:v>2020</x:v>
      </x:c>
      <x:c r="C140" s="31" t="str">
        <x:v>paul_suns</x:v>
      </x:c>
      <x:c r="D140" s="31" t="str">
        <x:v>保罗加盟太阳</x:v>
      </x:c>
      <x:c r="E140" s="31" t="str">
        <x:v>恰好达到分数</x:v>
      </x:c>
      <x:c r="F140" s="39" t="str">
        <x:v>满足全部必须条件并恰好达到所需分</x:v>
      </x:c>
      <x:c r="G140" s="39" t="str">
        <x:v>选择事件或分支</x:v>
      </x:c>
      <x:c r="H140" s="39" t="str">
        <x:v>可触发</x:v>
      </x:c>
      <x:c r="I140" s="39" t="str">
        <x:v>按结果移动球员、写入完成记录并启用保护期</x:v>
      </x:c>
      <x:c r="J140" s="40" t="str"/>
      <x:c r="K140" s="38" t="str">
        <x:v>未开始</x:v>
      </x:c>
      <x:c r="L140" s="38" t="str"/>
      <x:c r="M140" s="41"/>
      <x:c r="N140" s="38" t="str"/>
      <x:c r="O140" s="38" t="str"/>
    </x:row>
    <x:row r="141" ht="44" customHeight="1">
      <x:c r="A141" s="31" t="str">
        <x:v>FLOW-140</x:v>
      </x:c>
      <x:c r="B141" s="31" t="n">
        <x:v>2020</x:v>
      </x:c>
      <x:c r="C141" s="31" t="str">
        <x:v>paul_suns</x:v>
      </x:c>
      <x:c r="D141" s="31" t="str">
        <x:v>保罗加盟太阳</x:v>
      </x:c>
      <x:c r="E141" s="31" t="str">
        <x:v>仅差1分广告补足</x:v>
      </x:c>
      <x:c r="F141" s="39" t="str">
        <x:v>满足全部必须条件，计分为2/3或1/2</x:v>
      </x:c>
      <x:c r="G141" s="39" t="str">
        <x:v>点击未满足条件后的广告解锁</x:v>
      </x:c>
      <x:c r="H141" s="39" t="str">
        <x:v>广告完成后条件补足并可触发；失败则恢复按钮</x:v>
      </x:c>
      <x:c r="I141" s="39" t="str">
        <x:v>解锁键写入平行模式存档；经典模式不受影响</x:v>
      </x:c>
      <x:c r="J141" s="40" t="str"/>
      <x:c r="K141" s="38" t="str">
        <x:v>未开始</x:v>
      </x:c>
      <x:c r="L141" s="38" t="str"/>
      <x:c r="M141" s="41"/>
      <x:c r="N141" s="38" t="str"/>
      <x:c r="O141" s="38" t="str"/>
    </x:row>
    <x:row r="142" ht="44" customHeight="1">
      <x:c r="A142" s="31" t="str">
        <x:v>FLOW-141</x:v>
      </x:c>
      <x:c r="B142" s="31" t="n">
        <x:v>2020</x:v>
      </x:c>
      <x:c r="C142" s="31" t="str">
        <x:v>paul_suns</x:v>
      </x:c>
      <x:c r="D142" s="31" t="str">
        <x:v>保罗加盟太阳</x:v>
      </x:c>
      <x:c r="E142" s="31" t="str">
        <x:v>主动忽略</x:v>
      </x:c>
      <x:c r="F142" s="39" t="str">
        <x:v>进入事件赛季且未过第55场</x:v>
      </x:c>
      <x:c r="G142" s="39" t="str">
        <x:v>点击忽略</x:v>
      </x:c>
      <x:c r="H142" s="39" t="str">
        <x:v>事件进入已忽略列表</x:v>
      </x:c>
      <x:c r="I142" s="39" t="str">
        <x:v>不执行事件变动；特殊后备结果按定义处理</x:v>
      </x:c>
      <x:c r="J142" s="40" t="str"/>
      <x:c r="K142" s="38" t="str">
        <x:v>未开始</x:v>
      </x:c>
      <x:c r="L142" s="38" t="str"/>
      <x:c r="M142" s="41"/>
      <x:c r="N142" s="38" t="str"/>
      <x:c r="O142" s="38" t="str"/>
    </x:row>
    <x:row r="143" ht="44" customHeight="1">
      <x:c r="A143" s="31" t="str">
        <x:v>FLOW-142</x:v>
      </x:c>
      <x:c r="B143" s="31" t="n">
        <x:v>2020</x:v>
      </x:c>
      <x:c r="C143" s="31" t="str">
        <x:v>paul_suns</x:v>
      </x:c>
      <x:c r="D143" s="31" t="str">
        <x:v>保罗加盟太阳</x:v>
      </x:c>
      <x:c r="E143" s="31" t="str">
        <x:v>截止日自动忽略</x:v>
      </x:c>
      <x:c r="F143" s="39" t="str">
        <x:v>事件未处理并模拟到第56场</x:v>
      </x:c>
      <x:c r="G143" s="39" t="str">
        <x:v>继续赛季</x:v>
      </x:c>
      <x:c r="H143" s="39" t="str">
        <x:v>自动按忽略结算并显示截止日失效</x:v>
      </x:c>
      <x:c r="I143" s="39" t="str">
        <x:v>不得在第56场后触发</x:v>
      </x:c>
      <x:c r="J143" s="40" t="str"/>
      <x:c r="K143" s="38" t="str">
        <x:v>未开始</x:v>
      </x:c>
      <x:c r="L143" s="38" t="str"/>
      <x:c r="M143" s="41"/>
      <x:c r="N143" s="38" t="str"/>
      <x:c r="O143" s="38" t="str"/>
    </x:row>
    <x:row r="144" ht="44" customHeight="1">
      <x:c r="A144" s="31" t="str">
        <x:v>FLOW-143</x:v>
      </x:c>
      <x:c r="B144" s="31" t="n">
        <x:v>2020</x:v>
      </x:c>
      <x:c r="C144" s="31" t="str">
        <x:v>paul_suns</x:v>
      </x:c>
      <x:c r="D144" s="31" t="str">
        <x:v>保罗加盟太阳</x:v>
      </x:c>
      <x:c r="E144" s="31" t="str">
        <x:v>赛季后失效</x:v>
      </x:c>
      <x:c r="F144" s="39" t="str">
        <x:v>将当前赛季设为事件年份后一年且无记录</x:v>
      </x:c>
      <x:c r="G144" s="39" t="str">
        <x:v>打开事件详情</x:v>
      </x:c>
      <x:c r="H144" s="39" t="str">
        <x:v>已失效</x:v>
      </x:c>
      <x:c r="I144" s="39" t="str">
        <x:v>球队名单与事件记录不变</x:v>
      </x:c>
      <x:c r="J144" s="40" t="str"/>
      <x:c r="K144" s="38" t="str">
        <x:v>未开始</x:v>
      </x:c>
      <x:c r="L144" s="38" t="str"/>
      <x:c r="M144" s="41"/>
      <x:c r="N144" s="38" t="str"/>
      <x:c r="O144" s="38" t="str"/>
    </x:row>
    <x:row r="145" ht="44" customHeight="1">
      <x:c r="A145" s="31" t="str">
        <x:v>FLOW-144</x:v>
      </x:c>
      <x:c r="B145" s="31" t="n">
        <x:v>2020</x:v>
      </x:c>
      <x:c r="C145" s="31" t="str">
        <x:v>paul_suns</x:v>
      </x:c>
      <x:c r="D145" s="31" t="str">
        <x:v>保罗加盟太阳</x:v>
      </x:c>
      <x:c r="E145" s="31" t="str">
        <x:v>存档恢复</x:v>
      </x:c>
      <x:c r="F145" s="39" t="str">
        <x:v>完成、忽略或广告解锁后退出并重新进入</x:v>
      </x:c>
      <x:c r="G145" s="39" t="str">
        <x:v>读取平行联盟存档</x:v>
      </x:c>
      <x:c r="H145" s="39" t="str">
        <x:v>处理状态和广告解锁保持一致</x:v>
      </x:c>
      <x:c r="I145" s="39" t="str">
        <x:v>不得重复移动球员或重复消耗广告</x:v>
      </x:c>
      <x:c r="J145" s="40" t="str"/>
      <x:c r="K145" s="38" t="str">
        <x:v>未开始</x:v>
      </x:c>
      <x:c r="L145" s="38" t="str"/>
      <x:c r="M145" s="41"/>
      <x:c r="N145" s="38" t="str"/>
      <x:c r="O145" s="38" t="str"/>
    </x:row>
    <x:row r="146" ht="44" customHeight="1">
      <x:c r="A146" s="31" t="str">
        <x:v>FLOW-145</x:v>
      </x:c>
      <x:c r="B146" s="31" t="n">
        <x:v>2021</x:v>
      </x:c>
      <x:c r="C146" s="31" t="str">
        <x:v>harden_brooklyn</x:v>
      </x:c>
      <x:c r="D146" s="31" t="str">
        <x:v>布鲁克林三巨头</x:v>
      </x:c>
      <x:c r="E146" s="31" t="str">
        <x:v>赛季前锁定</x:v>
      </x:c>
      <x:c r="F146" s="39" t="str">
        <x:v>将当前赛季设为事件年份前一年</x:v>
      </x:c>
      <x:c r="G146" s="39" t="str">
        <x:v>打开命定事件详情</x:v>
      </x:c>
      <x:c r="H146" s="39" t="str">
        <x:v>未到赛季；分支按钮不可点击</x:v>
      </x:c>
      <x:c r="I146" s="39" t="str">
        <x:v>球队名单与事件记录不变</x:v>
      </x:c>
      <x:c r="J146" s="40" t="str"/>
      <x:c r="K146" s="38" t="str">
        <x:v>未开始</x:v>
      </x:c>
      <x:c r="L146" s="38" t="str"/>
      <x:c r="M146" s="41"/>
      <x:c r="N146" s="38" t="str"/>
      <x:c r="O146" s="38" t="str"/>
    </x:row>
    <x:row r="147" ht="44" customHeight="1">
      <x:c r="A147" s="31" t="str">
        <x:v>FLOW-146</x:v>
      </x:c>
      <x:c r="B147" s="31" t="n">
        <x:v>2021</x:v>
      </x:c>
      <x:c r="C147" s="31" t="str">
        <x:v>harden_brooklyn</x:v>
      </x:c>
      <x:c r="D147" s="31" t="str">
        <x:v>布鲁克林三巨头</x:v>
      </x:c>
      <x:c r="E147" s="31" t="str">
        <x:v>必须条件缺失</x:v>
      </x:c>
      <x:c r="F147" s="39" t="str">
        <x:v>进入事件赛季并破坏一项必须条件</x:v>
      </x:c>
      <x:c r="G147" s="39" t="str">
        <x:v>尝试触发</x:v>
      </x:c>
      <x:c r="H147" s="39" t="str">
        <x:v>条件不足；不可触发且无广告补必须条件</x:v>
      </x:c>
      <x:c r="I147" s="39" t="str">
        <x:v>球队名单与事件记录不变</x:v>
      </x:c>
      <x:c r="J147" s="40" t="str"/>
      <x:c r="K147" s="38" t="str">
        <x:v>未开始</x:v>
      </x:c>
      <x:c r="L147" s="38" t="str"/>
      <x:c r="M147" s="41"/>
      <x:c r="N147" s="38" t="str"/>
      <x:c r="O147" s="38" t="str"/>
    </x:row>
    <x:row r="148" ht="44" customHeight="1">
      <x:c r="A148" s="31" t="str">
        <x:v>FLOW-147</x:v>
      </x:c>
      <x:c r="B148" s="31" t="n">
        <x:v>2021</x:v>
      </x:c>
      <x:c r="C148" s="31" t="str">
        <x:v>harden_brooklyn</x:v>
      </x:c>
      <x:c r="D148" s="31" t="str">
        <x:v>布鲁克林三巨头</x:v>
      </x:c>
      <x:c r="E148" s="31" t="str">
        <x:v>恰好达到分数</x:v>
      </x:c>
      <x:c r="F148" s="39" t="str">
        <x:v>满足全部必须条件并恰好达到所需分</x:v>
      </x:c>
      <x:c r="G148" s="39" t="str">
        <x:v>选择事件或分支</x:v>
      </x:c>
      <x:c r="H148" s="39" t="str">
        <x:v>可触发</x:v>
      </x:c>
      <x:c r="I148" s="39" t="str">
        <x:v>按结果移动球员、写入完成记录并启用保护期</x:v>
      </x:c>
      <x:c r="J148" s="40" t="str"/>
      <x:c r="K148" s="38" t="str">
        <x:v>未开始</x:v>
      </x:c>
      <x:c r="L148" s="38" t="str"/>
      <x:c r="M148" s="41"/>
      <x:c r="N148" s="38" t="str"/>
      <x:c r="O148" s="38" t="str"/>
    </x:row>
    <x:row r="149" ht="44" customHeight="1">
      <x:c r="A149" s="31" t="str">
        <x:v>FLOW-148</x:v>
      </x:c>
      <x:c r="B149" s="31" t="n">
        <x:v>2021</x:v>
      </x:c>
      <x:c r="C149" s="31" t="str">
        <x:v>harden_brooklyn</x:v>
      </x:c>
      <x:c r="D149" s="31" t="str">
        <x:v>布鲁克林三巨头</x:v>
      </x:c>
      <x:c r="E149" s="31" t="str">
        <x:v>仅差1分广告补足</x:v>
      </x:c>
      <x:c r="F149" s="39" t="str">
        <x:v>满足全部必须条件，计分为2/3或1/2</x:v>
      </x:c>
      <x:c r="G149" s="39" t="str">
        <x:v>点击未满足条件后的广告解锁</x:v>
      </x:c>
      <x:c r="H149" s="39" t="str">
        <x:v>广告完成后条件补足并可触发；失败则恢复按钮</x:v>
      </x:c>
      <x:c r="I149" s="39" t="str">
        <x:v>解锁键写入平行模式存档；经典模式不受影响</x:v>
      </x:c>
      <x:c r="J149" s="40" t="str"/>
      <x:c r="K149" s="38" t="str">
        <x:v>未开始</x:v>
      </x:c>
      <x:c r="L149" s="38" t="str"/>
      <x:c r="M149" s="41"/>
      <x:c r="N149" s="38" t="str"/>
      <x:c r="O149" s="38" t="str"/>
    </x:row>
    <x:row r="150" ht="44" customHeight="1">
      <x:c r="A150" s="31" t="str">
        <x:v>FLOW-149</x:v>
      </x:c>
      <x:c r="B150" s="31" t="n">
        <x:v>2021</x:v>
      </x:c>
      <x:c r="C150" s="31" t="str">
        <x:v>harden_brooklyn</x:v>
      </x:c>
      <x:c r="D150" s="31" t="str">
        <x:v>布鲁克林三巨头</x:v>
      </x:c>
      <x:c r="E150" s="31" t="str">
        <x:v>主动忽略</x:v>
      </x:c>
      <x:c r="F150" s="39" t="str">
        <x:v>进入事件赛季且未过第55场</x:v>
      </x:c>
      <x:c r="G150" s="39" t="str">
        <x:v>点击忽略</x:v>
      </x:c>
      <x:c r="H150" s="39" t="str">
        <x:v>事件进入已忽略列表</x:v>
      </x:c>
      <x:c r="I150" s="39" t="str">
        <x:v>不执行事件变动；特殊后备结果按定义处理</x:v>
      </x:c>
      <x:c r="J150" s="40" t="str"/>
      <x:c r="K150" s="38" t="str">
        <x:v>未开始</x:v>
      </x:c>
      <x:c r="L150" s="38" t="str"/>
      <x:c r="M150" s="41"/>
      <x:c r="N150" s="38" t="str"/>
      <x:c r="O150" s="38" t="str"/>
    </x:row>
    <x:row r="151" ht="44" customHeight="1">
      <x:c r="A151" s="31" t="str">
        <x:v>FLOW-150</x:v>
      </x:c>
      <x:c r="B151" s="31" t="n">
        <x:v>2021</x:v>
      </x:c>
      <x:c r="C151" s="31" t="str">
        <x:v>harden_brooklyn</x:v>
      </x:c>
      <x:c r="D151" s="31" t="str">
        <x:v>布鲁克林三巨头</x:v>
      </x:c>
      <x:c r="E151" s="31" t="str">
        <x:v>截止日自动忽略</x:v>
      </x:c>
      <x:c r="F151" s="39" t="str">
        <x:v>事件未处理并模拟到第56场</x:v>
      </x:c>
      <x:c r="G151" s="39" t="str">
        <x:v>继续赛季</x:v>
      </x:c>
      <x:c r="H151" s="39" t="str">
        <x:v>自动按忽略结算并显示截止日失效</x:v>
      </x:c>
      <x:c r="I151" s="39" t="str">
        <x:v>不得在第56场后触发</x:v>
      </x:c>
      <x:c r="J151" s="40" t="str"/>
      <x:c r="K151" s="38" t="str">
        <x:v>未开始</x:v>
      </x:c>
      <x:c r="L151" s="38" t="str"/>
      <x:c r="M151" s="41"/>
      <x:c r="N151" s="38" t="str"/>
      <x:c r="O151" s="38" t="str"/>
    </x:row>
    <x:row r="152" ht="44" customHeight="1">
      <x:c r="A152" s="31" t="str">
        <x:v>FLOW-151</x:v>
      </x:c>
      <x:c r="B152" s="31" t="n">
        <x:v>2021</x:v>
      </x:c>
      <x:c r="C152" s="31" t="str">
        <x:v>harden_brooklyn</x:v>
      </x:c>
      <x:c r="D152" s="31" t="str">
        <x:v>布鲁克林三巨头</x:v>
      </x:c>
      <x:c r="E152" s="31" t="str">
        <x:v>赛季后失效</x:v>
      </x:c>
      <x:c r="F152" s="39" t="str">
        <x:v>将当前赛季设为事件年份后一年且无记录</x:v>
      </x:c>
      <x:c r="G152" s="39" t="str">
        <x:v>打开事件详情</x:v>
      </x:c>
      <x:c r="H152" s="39" t="str">
        <x:v>已失效</x:v>
      </x:c>
      <x:c r="I152" s="39" t="str">
        <x:v>球队名单与事件记录不变</x:v>
      </x:c>
      <x:c r="J152" s="40" t="str"/>
      <x:c r="K152" s="38" t="str">
        <x:v>未开始</x:v>
      </x:c>
      <x:c r="L152" s="38" t="str"/>
      <x:c r="M152" s="41"/>
      <x:c r="N152" s="38" t="str"/>
      <x:c r="O152" s="38" t="str"/>
    </x:row>
    <x:row r="153" ht="44" customHeight="1">
      <x:c r="A153" s="31" t="str">
        <x:v>FLOW-152</x:v>
      </x:c>
      <x:c r="B153" s="31" t="n">
        <x:v>2021</x:v>
      </x:c>
      <x:c r="C153" s="31" t="str">
        <x:v>harden_brooklyn</x:v>
      </x:c>
      <x:c r="D153" s="31" t="str">
        <x:v>布鲁克林三巨头</x:v>
      </x:c>
      <x:c r="E153" s="31" t="str">
        <x:v>存档恢复</x:v>
      </x:c>
      <x:c r="F153" s="39" t="str">
        <x:v>完成、忽略或广告解锁后退出并重新进入</x:v>
      </x:c>
      <x:c r="G153" s="39" t="str">
        <x:v>读取平行联盟存档</x:v>
      </x:c>
      <x:c r="H153" s="39" t="str">
        <x:v>处理状态和广告解锁保持一致</x:v>
      </x:c>
      <x:c r="I153" s="39" t="str">
        <x:v>不得重复移动球员或重复消耗广告</x:v>
      </x:c>
      <x:c r="J153" s="40" t="str"/>
      <x:c r="K153" s="38" t="str">
        <x:v>未开始</x:v>
      </x:c>
      <x:c r="L153" s="38" t="str"/>
      <x:c r="M153" s="41"/>
      <x:c r="N153" s="38" t="str"/>
      <x:c r="O153" s="38" t="str"/>
    </x:row>
    <x:row r="154" ht="44" customHeight="1">
      <x:c r="A154" s="31" t="str">
        <x:v>FLOW-153</x:v>
      </x:c>
      <x:c r="B154" s="31" t="n">
        <x:v>2021</x:v>
      </x:c>
      <x:c r="C154" s="31" t="str">
        <x:v>westbrook_lakers</x:v>
      </x:c>
      <x:c r="D154" s="31" t="str">
        <x:v>三双王来到洛杉矶</x:v>
      </x:c>
      <x:c r="E154" s="31" t="str">
        <x:v>赛季前锁定</x:v>
      </x:c>
      <x:c r="F154" s="39" t="str">
        <x:v>将当前赛季设为事件年份前一年</x:v>
      </x:c>
      <x:c r="G154" s="39" t="str">
        <x:v>打开命定事件详情</x:v>
      </x:c>
      <x:c r="H154" s="39" t="str">
        <x:v>未到赛季；分支按钮不可点击</x:v>
      </x:c>
      <x:c r="I154" s="39" t="str">
        <x:v>球队名单与事件记录不变</x:v>
      </x:c>
      <x:c r="J154" s="40" t="str"/>
      <x:c r="K154" s="38" t="str">
        <x:v>未开始</x:v>
      </x:c>
      <x:c r="L154" s="38" t="str"/>
      <x:c r="M154" s="41"/>
      <x:c r="N154" s="38" t="str"/>
      <x:c r="O154" s="38" t="str"/>
    </x:row>
    <x:row r="155" ht="44" customHeight="1">
      <x:c r="A155" s="31" t="str">
        <x:v>FLOW-154</x:v>
      </x:c>
      <x:c r="B155" s="31" t="n">
        <x:v>2021</x:v>
      </x:c>
      <x:c r="C155" s="31" t="str">
        <x:v>westbrook_lakers</x:v>
      </x:c>
      <x:c r="D155" s="31" t="str">
        <x:v>三双王来到洛杉矶</x:v>
      </x:c>
      <x:c r="E155" s="31" t="str">
        <x:v>必须条件缺失</x:v>
      </x:c>
      <x:c r="F155" s="39" t="str">
        <x:v>进入事件赛季并破坏一项必须条件</x:v>
      </x:c>
      <x:c r="G155" s="39" t="str">
        <x:v>尝试触发</x:v>
      </x:c>
      <x:c r="H155" s="39" t="str">
        <x:v>条件不足；不可触发且无广告补必须条件</x:v>
      </x:c>
      <x:c r="I155" s="39" t="str">
        <x:v>球队名单与事件记录不变</x:v>
      </x:c>
      <x:c r="J155" s="40" t="str"/>
      <x:c r="K155" s="38" t="str">
        <x:v>未开始</x:v>
      </x:c>
      <x:c r="L155" s="38" t="str"/>
      <x:c r="M155" s="41"/>
      <x:c r="N155" s="38" t="str"/>
      <x:c r="O155" s="38" t="str"/>
    </x:row>
    <x:row r="156" ht="44" customHeight="1">
      <x:c r="A156" s="31" t="str">
        <x:v>FLOW-155</x:v>
      </x:c>
      <x:c r="B156" s="31" t="n">
        <x:v>2021</x:v>
      </x:c>
      <x:c r="C156" s="31" t="str">
        <x:v>westbrook_lakers</x:v>
      </x:c>
      <x:c r="D156" s="31" t="str">
        <x:v>三双王来到洛杉矶</x:v>
      </x:c>
      <x:c r="E156" s="31" t="str">
        <x:v>恰好达到分数</x:v>
      </x:c>
      <x:c r="F156" s="39" t="str">
        <x:v>满足全部必须条件并恰好达到所需分</x:v>
      </x:c>
      <x:c r="G156" s="39" t="str">
        <x:v>选择事件或分支</x:v>
      </x:c>
      <x:c r="H156" s="39" t="str">
        <x:v>可触发</x:v>
      </x:c>
      <x:c r="I156" s="39" t="str">
        <x:v>按结果移动球员、写入完成记录并启用保护期</x:v>
      </x:c>
      <x:c r="J156" s="40" t="str"/>
      <x:c r="K156" s="38" t="str">
        <x:v>未开始</x:v>
      </x:c>
      <x:c r="L156" s="38" t="str"/>
      <x:c r="M156" s="41"/>
      <x:c r="N156" s="38" t="str"/>
      <x:c r="O156" s="38" t="str"/>
    </x:row>
    <x:row r="157" ht="44" customHeight="1">
      <x:c r="A157" s="31" t="str">
        <x:v>FLOW-156</x:v>
      </x:c>
      <x:c r="B157" s="31" t="n">
        <x:v>2021</x:v>
      </x:c>
      <x:c r="C157" s="31" t="str">
        <x:v>westbrook_lakers</x:v>
      </x:c>
      <x:c r="D157" s="31" t="str">
        <x:v>三双王来到洛杉矶</x:v>
      </x:c>
      <x:c r="E157" s="31" t="str">
        <x:v>仅差1分广告补足</x:v>
      </x:c>
      <x:c r="F157" s="39" t="str">
        <x:v>满足全部必须条件，计分为2/3或1/2</x:v>
      </x:c>
      <x:c r="G157" s="39" t="str">
        <x:v>点击未满足条件后的广告解锁</x:v>
      </x:c>
      <x:c r="H157" s="39" t="str">
        <x:v>广告完成后条件补足并可触发；失败则恢复按钮</x:v>
      </x:c>
      <x:c r="I157" s="39" t="str">
        <x:v>解锁键写入平行模式存档；经典模式不受影响</x:v>
      </x:c>
      <x:c r="J157" s="40" t="str"/>
      <x:c r="K157" s="38" t="str">
        <x:v>未开始</x:v>
      </x:c>
      <x:c r="L157" s="38" t="str"/>
      <x:c r="M157" s="41"/>
      <x:c r="N157" s="38" t="str"/>
      <x:c r="O157" s="38" t="str"/>
    </x:row>
    <x:row r="158" ht="44" customHeight="1">
      <x:c r="A158" s="31" t="str">
        <x:v>FLOW-157</x:v>
      </x:c>
      <x:c r="B158" s="31" t="n">
        <x:v>2021</x:v>
      </x:c>
      <x:c r="C158" s="31" t="str">
        <x:v>westbrook_lakers</x:v>
      </x:c>
      <x:c r="D158" s="31" t="str">
        <x:v>三双王来到洛杉矶</x:v>
      </x:c>
      <x:c r="E158" s="31" t="str">
        <x:v>主动忽略</x:v>
      </x:c>
      <x:c r="F158" s="39" t="str">
        <x:v>进入事件赛季且未过第55场</x:v>
      </x:c>
      <x:c r="G158" s="39" t="str">
        <x:v>点击忽略</x:v>
      </x:c>
      <x:c r="H158" s="39" t="str">
        <x:v>事件进入已忽略列表</x:v>
      </x:c>
      <x:c r="I158" s="39" t="str">
        <x:v>不执行事件变动；特殊后备结果按定义处理</x:v>
      </x:c>
      <x:c r="J158" s="40" t="str"/>
      <x:c r="K158" s="38" t="str">
        <x:v>未开始</x:v>
      </x:c>
      <x:c r="L158" s="38" t="str"/>
      <x:c r="M158" s="41"/>
      <x:c r="N158" s="38" t="str"/>
      <x:c r="O158" s="38" t="str"/>
    </x:row>
    <x:row r="159" ht="44" customHeight="1">
      <x:c r="A159" s="31" t="str">
        <x:v>FLOW-158</x:v>
      </x:c>
      <x:c r="B159" s="31" t="n">
        <x:v>2021</x:v>
      </x:c>
      <x:c r="C159" s="31" t="str">
        <x:v>westbrook_lakers</x:v>
      </x:c>
      <x:c r="D159" s="31" t="str">
        <x:v>三双王来到洛杉矶</x:v>
      </x:c>
      <x:c r="E159" s="31" t="str">
        <x:v>截止日自动忽略</x:v>
      </x:c>
      <x:c r="F159" s="39" t="str">
        <x:v>事件未处理并模拟到第56场</x:v>
      </x:c>
      <x:c r="G159" s="39" t="str">
        <x:v>继续赛季</x:v>
      </x:c>
      <x:c r="H159" s="39" t="str">
        <x:v>自动按忽略结算并显示截止日失效</x:v>
      </x:c>
      <x:c r="I159" s="39" t="str">
        <x:v>不得在第56场后触发</x:v>
      </x:c>
      <x:c r="J159" s="40" t="str"/>
      <x:c r="K159" s="38" t="str">
        <x:v>未开始</x:v>
      </x:c>
      <x:c r="L159" s="38" t="str"/>
      <x:c r="M159" s="41"/>
      <x:c r="N159" s="38" t="str"/>
      <x:c r="O159" s="38" t="str"/>
    </x:row>
    <x:row r="160" ht="44" customHeight="1">
      <x:c r="A160" s="31" t="str">
        <x:v>FLOW-159</x:v>
      </x:c>
      <x:c r="B160" s="31" t="n">
        <x:v>2021</x:v>
      </x:c>
      <x:c r="C160" s="31" t="str">
        <x:v>westbrook_lakers</x:v>
      </x:c>
      <x:c r="D160" s="31" t="str">
        <x:v>三双王来到洛杉矶</x:v>
      </x:c>
      <x:c r="E160" s="31" t="str">
        <x:v>赛季后失效</x:v>
      </x:c>
      <x:c r="F160" s="39" t="str">
        <x:v>将当前赛季设为事件年份后一年且无记录</x:v>
      </x:c>
      <x:c r="G160" s="39" t="str">
        <x:v>打开事件详情</x:v>
      </x:c>
      <x:c r="H160" s="39" t="str">
        <x:v>已失效</x:v>
      </x:c>
      <x:c r="I160" s="39" t="str">
        <x:v>球队名单与事件记录不变</x:v>
      </x:c>
      <x:c r="J160" s="40" t="str"/>
      <x:c r="K160" s="38" t="str">
        <x:v>未开始</x:v>
      </x:c>
      <x:c r="L160" s="38" t="str"/>
      <x:c r="M160" s="41"/>
      <x:c r="N160" s="38" t="str"/>
      <x:c r="O160" s="38" t="str"/>
    </x:row>
    <x:row r="161" ht="44" customHeight="1">
      <x:c r="A161" s="31" t="str">
        <x:v>FLOW-160</x:v>
      </x:c>
      <x:c r="B161" s="31" t="n">
        <x:v>2021</x:v>
      </x:c>
      <x:c r="C161" s="31" t="str">
        <x:v>westbrook_lakers</x:v>
      </x:c>
      <x:c r="D161" s="31" t="str">
        <x:v>三双王来到洛杉矶</x:v>
      </x:c>
      <x:c r="E161" s="31" t="str">
        <x:v>存档恢复</x:v>
      </x:c>
      <x:c r="F161" s="39" t="str">
        <x:v>完成、忽略或广告解锁后退出并重新进入</x:v>
      </x:c>
      <x:c r="G161" s="39" t="str">
        <x:v>读取平行联盟存档</x:v>
      </x:c>
      <x:c r="H161" s="39" t="str">
        <x:v>处理状态和广告解锁保持一致</x:v>
      </x:c>
      <x:c r="I161" s="39" t="str">
        <x:v>不得重复移动球员或重复消耗广告</x:v>
      </x:c>
      <x:c r="J161" s="40" t="str"/>
      <x:c r="K161" s="38" t="str">
        <x:v>未开始</x:v>
      </x:c>
      <x:c r="L161" s="38" t="str"/>
      <x:c r="M161" s="41"/>
      <x:c r="N161" s="38" t="str"/>
      <x:c r="O161" s="38" t="str"/>
    </x:row>
    <x:row r="162" ht="44" customHeight="1">
      <x:c r="A162" s="31" t="str">
        <x:v>FLOW-161</x:v>
      </x:c>
      <x:c r="B162" s="31" t="n">
        <x:v>2022</x:v>
      </x:c>
      <x:c r="C162" s="31" t="str">
        <x:v>mitchell_cleveland</x:v>
      </x:c>
      <x:c r="D162" s="31" t="str">
        <x:v>米切尔空降骑士</x:v>
      </x:c>
      <x:c r="E162" s="31" t="str">
        <x:v>赛季前锁定</x:v>
      </x:c>
      <x:c r="F162" s="39" t="str">
        <x:v>将当前赛季设为事件年份前一年</x:v>
      </x:c>
      <x:c r="G162" s="39" t="str">
        <x:v>打开命定事件详情</x:v>
      </x:c>
      <x:c r="H162" s="39" t="str">
        <x:v>未到赛季；分支按钮不可点击</x:v>
      </x:c>
      <x:c r="I162" s="39" t="str">
        <x:v>球队名单与事件记录不变</x:v>
      </x:c>
      <x:c r="J162" s="40" t="str"/>
      <x:c r="K162" s="38" t="str">
        <x:v>未开始</x:v>
      </x:c>
      <x:c r="L162" s="38" t="str"/>
      <x:c r="M162" s="41"/>
      <x:c r="N162" s="38" t="str"/>
      <x:c r="O162" s="38" t="str"/>
    </x:row>
    <x:row r="163" ht="44" customHeight="1">
      <x:c r="A163" s="31" t="str">
        <x:v>FLOW-162</x:v>
      </x:c>
      <x:c r="B163" s="31" t="n">
        <x:v>2022</x:v>
      </x:c>
      <x:c r="C163" s="31" t="str">
        <x:v>mitchell_cleveland</x:v>
      </x:c>
      <x:c r="D163" s="31" t="str">
        <x:v>米切尔空降骑士</x:v>
      </x:c>
      <x:c r="E163" s="31" t="str">
        <x:v>必须条件缺失</x:v>
      </x:c>
      <x:c r="F163" s="39" t="str">
        <x:v>进入事件赛季并破坏一项必须条件</x:v>
      </x:c>
      <x:c r="G163" s="39" t="str">
        <x:v>尝试触发</x:v>
      </x:c>
      <x:c r="H163" s="39" t="str">
        <x:v>条件不足；不可触发且无广告补必须条件</x:v>
      </x:c>
      <x:c r="I163" s="39" t="str">
        <x:v>球队名单与事件记录不变</x:v>
      </x:c>
      <x:c r="J163" s="40" t="str"/>
      <x:c r="K163" s="38" t="str">
        <x:v>未开始</x:v>
      </x:c>
      <x:c r="L163" s="38" t="str"/>
      <x:c r="M163" s="41"/>
      <x:c r="N163" s="38" t="str"/>
      <x:c r="O163" s="38" t="str"/>
    </x:row>
    <x:row r="164" ht="44" customHeight="1">
      <x:c r="A164" s="31" t="str">
        <x:v>FLOW-163</x:v>
      </x:c>
      <x:c r="B164" s="31" t="n">
        <x:v>2022</x:v>
      </x:c>
      <x:c r="C164" s="31" t="str">
        <x:v>mitchell_cleveland</x:v>
      </x:c>
      <x:c r="D164" s="31" t="str">
        <x:v>米切尔空降骑士</x:v>
      </x:c>
      <x:c r="E164" s="31" t="str">
        <x:v>恰好达到分数</x:v>
      </x:c>
      <x:c r="F164" s="39" t="str">
        <x:v>满足全部必须条件并恰好达到所需分</x:v>
      </x:c>
      <x:c r="G164" s="39" t="str">
        <x:v>选择事件或分支</x:v>
      </x:c>
      <x:c r="H164" s="39" t="str">
        <x:v>可触发</x:v>
      </x:c>
      <x:c r="I164" s="39" t="str">
        <x:v>按结果移动球员、写入完成记录并启用保护期</x:v>
      </x:c>
      <x:c r="J164" s="40" t="str"/>
      <x:c r="K164" s="38" t="str">
        <x:v>未开始</x:v>
      </x:c>
      <x:c r="L164" s="38" t="str"/>
      <x:c r="M164" s="41"/>
      <x:c r="N164" s="38" t="str"/>
      <x:c r="O164" s="38" t="str"/>
    </x:row>
    <x:row r="165" ht="44" customHeight="1">
      <x:c r="A165" s="31" t="str">
        <x:v>FLOW-164</x:v>
      </x:c>
      <x:c r="B165" s="31" t="n">
        <x:v>2022</x:v>
      </x:c>
      <x:c r="C165" s="31" t="str">
        <x:v>mitchell_cleveland</x:v>
      </x:c>
      <x:c r="D165" s="31" t="str">
        <x:v>米切尔空降骑士</x:v>
      </x:c>
      <x:c r="E165" s="31" t="str">
        <x:v>仅差1分广告补足</x:v>
      </x:c>
      <x:c r="F165" s="39" t="str">
        <x:v>满足全部必须条件，计分为2/3或1/2</x:v>
      </x:c>
      <x:c r="G165" s="39" t="str">
        <x:v>点击未满足条件后的广告解锁</x:v>
      </x:c>
      <x:c r="H165" s="39" t="str">
        <x:v>广告完成后条件补足并可触发；失败则恢复按钮</x:v>
      </x:c>
      <x:c r="I165" s="39" t="str">
        <x:v>解锁键写入平行模式存档；经典模式不受影响</x:v>
      </x:c>
      <x:c r="J165" s="40" t="str"/>
      <x:c r="K165" s="38" t="str">
        <x:v>未开始</x:v>
      </x:c>
      <x:c r="L165" s="38" t="str"/>
      <x:c r="M165" s="41"/>
      <x:c r="N165" s="38" t="str"/>
      <x:c r="O165" s="38" t="str"/>
    </x:row>
    <x:row r="166" ht="44" customHeight="1">
      <x:c r="A166" s="31" t="str">
        <x:v>FLOW-165</x:v>
      </x:c>
      <x:c r="B166" s="31" t="n">
        <x:v>2022</x:v>
      </x:c>
      <x:c r="C166" s="31" t="str">
        <x:v>mitchell_cleveland</x:v>
      </x:c>
      <x:c r="D166" s="31" t="str">
        <x:v>米切尔空降骑士</x:v>
      </x:c>
      <x:c r="E166" s="31" t="str">
        <x:v>主动忽略</x:v>
      </x:c>
      <x:c r="F166" s="39" t="str">
        <x:v>进入事件赛季且未过第55场</x:v>
      </x:c>
      <x:c r="G166" s="39" t="str">
        <x:v>点击忽略</x:v>
      </x:c>
      <x:c r="H166" s="39" t="str">
        <x:v>事件进入已忽略列表</x:v>
      </x:c>
      <x:c r="I166" s="39" t="str">
        <x:v>不执行事件变动；特殊后备结果按定义处理</x:v>
      </x:c>
      <x:c r="J166" s="40" t="str"/>
      <x:c r="K166" s="38" t="str">
        <x:v>未开始</x:v>
      </x:c>
      <x:c r="L166" s="38" t="str"/>
      <x:c r="M166" s="41"/>
      <x:c r="N166" s="38" t="str"/>
      <x:c r="O166" s="38" t="str"/>
    </x:row>
    <x:row r="167" ht="44" customHeight="1">
      <x:c r="A167" s="31" t="str">
        <x:v>FLOW-166</x:v>
      </x:c>
      <x:c r="B167" s="31" t="n">
        <x:v>2022</x:v>
      </x:c>
      <x:c r="C167" s="31" t="str">
        <x:v>mitchell_cleveland</x:v>
      </x:c>
      <x:c r="D167" s="31" t="str">
        <x:v>米切尔空降骑士</x:v>
      </x:c>
      <x:c r="E167" s="31" t="str">
        <x:v>截止日自动忽略</x:v>
      </x:c>
      <x:c r="F167" s="39" t="str">
        <x:v>事件未处理并模拟到第56场</x:v>
      </x:c>
      <x:c r="G167" s="39" t="str">
        <x:v>继续赛季</x:v>
      </x:c>
      <x:c r="H167" s="39" t="str">
        <x:v>自动按忽略结算并显示截止日失效</x:v>
      </x:c>
      <x:c r="I167" s="39" t="str">
        <x:v>不得在第56场后触发</x:v>
      </x:c>
      <x:c r="J167" s="40" t="str"/>
      <x:c r="K167" s="38" t="str">
        <x:v>未开始</x:v>
      </x:c>
      <x:c r="L167" s="38" t="str"/>
      <x:c r="M167" s="41"/>
      <x:c r="N167" s="38" t="str"/>
      <x:c r="O167" s="38" t="str"/>
    </x:row>
    <x:row r="168" ht="44" customHeight="1">
      <x:c r="A168" s="31" t="str">
        <x:v>FLOW-167</x:v>
      </x:c>
      <x:c r="B168" s="31" t="n">
        <x:v>2022</x:v>
      </x:c>
      <x:c r="C168" s="31" t="str">
        <x:v>mitchell_cleveland</x:v>
      </x:c>
      <x:c r="D168" s="31" t="str">
        <x:v>米切尔空降骑士</x:v>
      </x:c>
      <x:c r="E168" s="31" t="str">
        <x:v>赛季后失效</x:v>
      </x:c>
      <x:c r="F168" s="39" t="str">
        <x:v>将当前赛季设为事件年份后一年且无记录</x:v>
      </x:c>
      <x:c r="G168" s="39" t="str">
        <x:v>打开事件详情</x:v>
      </x:c>
      <x:c r="H168" s="39" t="str">
        <x:v>已失效</x:v>
      </x:c>
      <x:c r="I168" s="39" t="str">
        <x:v>球队名单与事件记录不变</x:v>
      </x:c>
      <x:c r="J168" s="40" t="str"/>
      <x:c r="K168" s="38" t="str">
        <x:v>未开始</x:v>
      </x:c>
      <x:c r="L168" s="38" t="str"/>
      <x:c r="M168" s="41"/>
      <x:c r="N168" s="38" t="str"/>
      <x:c r="O168" s="38" t="str"/>
    </x:row>
    <x:row r="169" ht="44" customHeight="1">
      <x:c r="A169" s="31" t="str">
        <x:v>FLOW-168</x:v>
      </x:c>
      <x:c r="B169" s="31" t="n">
        <x:v>2022</x:v>
      </x:c>
      <x:c r="C169" s="31" t="str">
        <x:v>mitchell_cleveland</x:v>
      </x:c>
      <x:c r="D169" s="31" t="str">
        <x:v>米切尔空降骑士</x:v>
      </x:c>
      <x:c r="E169" s="31" t="str">
        <x:v>存档恢复</x:v>
      </x:c>
      <x:c r="F169" s="39" t="str">
        <x:v>完成、忽略或广告解锁后退出并重新进入</x:v>
      </x:c>
      <x:c r="G169" s="39" t="str">
        <x:v>读取平行联盟存档</x:v>
      </x:c>
      <x:c r="H169" s="39" t="str">
        <x:v>处理状态和广告解锁保持一致</x:v>
      </x:c>
      <x:c r="I169" s="39" t="str">
        <x:v>不得重复移动球员或重复消耗广告</x:v>
      </x:c>
      <x:c r="J169" s="40" t="str"/>
      <x:c r="K169" s="38" t="str">
        <x:v>未开始</x:v>
      </x:c>
      <x:c r="L169" s="38" t="str"/>
      <x:c r="M169" s="41"/>
      <x:c r="N169" s="38" t="str"/>
      <x:c r="O169" s="38" t="str"/>
    </x:row>
    <x:row r="170" ht="44" customHeight="1">
      <x:c r="A170" s="31" t="str">
        <x:v>FLOW-169</x:v>
      </x:c>
      <x:c r="B170" s="31" t="n">
        <x:v>2023</x:v>
      </x:c>
      <x:c r="C170" s="31" t="str">
        <x:v>durant_phoenix</x:v>
      </x:c>
      <x:c r="D170" s="31" t="str">
        <x:v>太阳组成豪华进攻组</x:v>
      </x:c>
      <x:c r="E170" s="31" t="str">
        <x:v>赛季前锁定</x:v>
      </x:c>
      <x:c r="F170" s="39" t="str">
        <x:v>将当前赛季设为事件年份前一年</x:v>
      </x:c>
      <x:c r="G170" s="39" t="str">
        <x:v>打开命定事件详情</x:v>
      </x:c>
      <x:c r="H170" s="39" t="str">
        <x:v>未到赛季；分支按钮不可点击</x:v>
      </x:c>
      <x:c r="I170" s="39" t="str">
        <x:v>球队名单与事件记录不变</x:v>
      </x:c>
      <x:c r="J170" s="40" t="str"/>
      <x:c r="K170" s="38" t="str">
        <x:v>未开始</x:v>
      </x:c>
      <x:c r="L170" s="38" t="str"/>
      <x:c r="M170" s="41"/>
      <x:c r="N170" s="38" t="str"/>
      <x:c r="O170" s="38" t="str"/>
    </x:row>
    <x:row r="171" ht="44" customHeight="1">
      <x:c r="A171" s="31" t="str">
        <x:v>FLOW-170</x:v>
      </x:c>
      <x:c r="B171" s="31" t="n">
        <x:v>2023</x:v>
      </x:c>
      <x:c r="C171" s="31" t="str">
        <x:v>durant_phoenix</x:v>
      </x:c>
      <x:c r="D171" s="31" t="str">
        <x:v>太阳组成豪华进攻组</x:v>
      </x:c>
      <x:c r="E171" s="31" t="str">
        <x:v>必须条件缺失</x:v>
      </x:c>
      <x:c r="F171" s="39" t="str">
        <x:v>进入事件赛季并破坏一项必须条件</x:v>
      </x:c>
      <x:c r="G171" s="39" t="str">
        <x:v>尝试触发</x:v>
      </x:c>
      <x:c r="H171" s="39" t="str">
        <x:v>条件不足；不可触发且无广告补必须条件</x:v>
      </x:c>
      <x:c r="I171" s="39" t="str">
        <x:v>球队名单与事件记录不变</x:v>
      </x:c>
      <x:c r="J171" s="40" t="str"/>
      <x:c r="K171" s="38" t="str">
        <x:v>未开始</x:v>
      </x:c>
      <x:c r="L171" s="38" t="str"/>
      <x:c r="M171" s="41"/>
      <x:c r="N171" s="38" t="str"/>
      <x:c r="O171" s="38" t="str"/>
    </x:row>
    <x:row r="172" ht="44" customHeight="1">
      <x:c r="A172" s="31" t="str">
        <x:v>FLOW-171</x:v>
      </x:c>
      <x:c r="B172" s="31" t="n">
        <x:v>2023</x:v>
      </x:c>
      <x:c r="C172" s="31" t="str">
        <x:v>durant_phoenix</x:v>
      </x:c>
      <x:c r="D172" s="31" t="str">
        <x:v>太阳组成豪华进攻组</x:v>
      </x:c>
      <x:c r="E172" s="31" t="str">
        <x:v>恰好达到分数</x:v>
      </x:c>
      <x:c r="F172" s="39" t="str">
        <x:v>满足全部必须条件并恰好达到所需分</x:v>
      </x:c>
      <x:c r="G172" s="39" t="str">
        <x:v>选择事件或分支</x:v>
      </x:c>
      <x:c r="H172" s="39" t="str">
        <x:v>可触发</x:v>
      </x:c>
      <x:c r="I172" s="39" t="str">
        <x:v>按结果移动球员、写入完成记录并启用保护期</x:v>
      </x:c>
      <x:c r="J172" s="40" t="str"/>
      <x:c r="K172" s="38" t="str">
        <x:v>未开始</x:v>
      </x:c>
      <x:c r="L172" s="38" t="str"/>
      <x:c r="M172" s="41"/>
      <x:c r="N172" s="38" t="str"/>
      <x:c r="O172" s="38" t="str"/>
    </x:row>
    <x:row r="173" ht="44" customHeight="1">
      <x:c r="A173" s="31" t="str">
        <x:v>FLOW-172</x:v>
      </x:c>
      <x:c r="B173" s="31" t="n">
        <x:v>2023</x:v>
      </x:c>
      <x:c r="C173" s="31" t="str">
        <x:v>durant_phoenix</x:v>
      </x:c>
      <x:c r="D173" s="31" t="str">
        <x:v>太阳组成豪华进攻组</x:v>
      </x:c>
      <x:c r="E173" s="31" t="str">
        <x:v>仅差1分广告补足</x:v>
      </x:c>
      <x:c r="F173" s="39" t="str">
        <x:v>满足全部必须条件，计分为2/3或1/2</x:v>
      </x:c>
      <x:c r="G173" s="39" t="str">
        <x:v>点击未满足条件后的广告解锁</x:v>
      </x:c>
      <x:c r="H173" s="39" t="str">
        <x:v>广告完成后条件补足并可触发；失败则恢复按钮</x:v>
      </x:c>
      <x:c r="I173" s="39" t="str">
        <x:v>解锁键写入平行模式存档；经典模式不受影响</x:v>
      </x:c>
      <x:c r="J173" s="40" t="str"/>
      <x:c r="K173" s="38" t="str">
        <x:v>未开始</x:v>
      </x:c>
      <x:c r="L173" s="38" t="str"/>
      <x:c r="M173" s="41"/>
      <x:c r="N173" s="38" t="str"/>
      <x:c r="O173" s="38" t="str"/>
    </x:row>
    <x:row r="174" ht="44" customHeight="1">
      <x:c r="A174" s="31" t="str">
        <x:v>FLOW-173</x:v>
      </x:c>
      <x:c r="B174" s="31" t="n">
        <x:v>2023</x:v>
      </x:c>
      <x:c r="C174" s="31" t="str">
        <x:v>durant_phoenix</x:v>
      </x:c>
      <x:c r="D174" s="31" t="str">
        <x:v>太阳组成豪华进攻组</x:v>
      </x:c>
      <x:c r="E174" s="31" t="str">
        <x:v>主动忽略</x:v>
      </x:c>
      <x:c r="F174" s="39" t="str">
        <x:v>进入事件赛季且未过第55场</x:v>
      </x:c>
      <x:c r="G174" s="39" t="str">
        <x:v>点击忽略</x:v>
      </x:c>
      <x:c r="H174" s="39" t="str">
        <x:v>事件进入已忽略列表</x:v>
      </x:c>
      <x:c r="I174" s="39" t="str">
        <x:v>不执行事件变动；特殊后备结果按定义处理</x:v>
      </x:c>
      <x:c r="J174" s="40" t="str"/>
      <x:c r="K174" s="38" t="str">
        <x:v>未开始</x:v>
      </x:c>
      <x:c r="L174" s="38" t="str"/>
      <x:c r="M174" s="41"/>
      <x:c r="N174" s="38" t="str"/>
      <x:c r="O174" s="38" t="str"/>
    </x:row>
    <x:row r="175" ht="44" customHeight="1">
      <x:c r="A175" s="31" t="str">
        <x:v>FLOW-174</x:v>
      </x:c>
      <x:c r="B175" s="31" t="n">
        <x:v>2023</x:v>
      </x:c>
      <x:c r="C175" s="31" t="str">
        <x:v>durant_phoenix</x:v>
      </x:c>
      <x:c r="D175" s="31" t="str">
        <x:v>太阳组成豪华进攻组</x:v>
      </x:c>
      <x:c r="E175" s="31" t="str">
        <x:v>截止日自动忽略</x:v>
      </x:c>
      <x:c r="F175" s="39" t="str">
        <x:v>事件未处理并模拟到第56场</x:v>
      </x:c>
      <x:c r="G175" s="39" t="str">
        <x:v>继续赛季</x:v>
      </x:c>
      <x:c r="H175" s="39" t="str">
        <x:v>自动按忽略结算并显示截止日失效</x:v>
      </x:c>
      <x:c r="I175" s="39" t="str">
        <x:v>不得在第56场后触发</x:v>
      </x:c>
      <x:c r="J175" s="40" t="str"/>
      <x:c r="K175" s="38" t="str">
        <x:v>未开始</x:v>
      </x:c>
      <x:c r="L175" s="38" t="str"/>
      <x:c r="M175" s="41"/>
      <x:c r="N175" s="38" t="str"/>
      <x:c r="O175" s="38" t="str"/>
    </x:row>
    <x:row r="176" ht="44" customHeight="1">
      <x:c r="A176" s="31" t="str">
        <x:v>FLOW-175</x:v>
      </x:c>
      <x:c r="B176" s="31" t="n">
        <x:v>2023</x:v>
      </x:c>
      <x:c r="C176" s="31" t="str">
        <x:v>durant_phoenix</x:v>
      </x:c>
      <x:c r="D176" s="31" t="str">
        <x:v>太阳组成豪华进攻组</x:v>
      </x:c>
      <x:c r="E176" s="31" t="str">
        <x:v>赛季后失效</x:v>
      </x:c>
      <x:c r="F176" s="39" t="str">
        <x:v>将当前赛季设为事件年份后一年且无记录</x:v>
      </x:c>
      <x:c r="G176" s="39" t="str">
        <x:v>打开事件详情</x:v>
      </x:c>
      <x:c r="H176" s="39" t="str">
        <x:v>已失效</x:v>
      </x:c>
      <x:c r="I176" s="39" t="str">
        <x:v>球队名单与事件记录不变</x:v>
      </x:c>
      <x:c r="J176" s="40" t="str"/>
      <x:c r="K176" s="38" t="str">
        <x:v>未开始</x:v>
      </x:c>
      <x:c r="L176" s="38" t="str"/>
      <x:c r="M176" s="41"/>
      <x:c r="N176" s="38" t="str"/>
      <x:c r="O176" s="38" t="str"/>
    </x:row>
    <x:row r="177" ht="44" customHeight="1">
      <x:c r="A177" s="31" t="str">
        <x:v>FLOW-176</x:v>
      </x:c>
      <x:c r="B177" s="31" t="n">
        <x:v>2023</x:v>
      </x:c>
      <x:c r="C177" s="31" t="str">
        <x:v>durant_phoenix</x:v>
      </x:c>
      <x:c r="D177" s="31" t="str">
        <x:v>太阳组成豪华进攻组</x:v>
      </x:c>
      <x:c r="E177" s="31" t="str">
        <x:v>存档恢复</x:v>
      </x:c>
      <x:c r="F177" s="39" t="str">
        <x:v>完成、忽略或广告解锁后退出并重新进入</x:v>
      </x:c>
      <x:c r="G177" s="39" t="str">
        <x:v>读取平行联盟存档</x:v>
      </x:c>
      <x:c r="H177" s="39" t="str">
        <x:v>处理状态和广告解锁保持一致</x:v>
      </x:c>
      <x:c r="I177" s="39" t="str">
        <x:v>不得重复移动球员或重复消耗广告</x:v>
      </x:c>
      <x:c r="J177" s="40" t="str"/>
      <x:c r="K177" s="38" t="str">
        <x:v>未开始</x:v>
      </x:c>
      <x:c r="L177" s="38" t="str"/>
      <x:c r="M177" s="41"/>
      <x:c r="N177" s="38" t="str"/>
      <x:c r="O177" s="38" t="str"/>
    </x:row>
    <x:row r="178" ht="44" customHeight="1">
      <x:c r="A178" s="31" t="str">
        <x:v>FLOW-177</x:v>
      </x:c>
      <x:c r="B178" s="31" t="n">
        <x:v>2023</x:v>
      </x:c>
      <x:c r="C178" s="31" t="str">
        <x:v>lillard_bucks</x:v>
      </x:c>
      <x:c r="D178" s="31" t="str">
        <x:v>利拉德联手字母哥</x:v>
      </x:c>
      <x:c r="E178" s="31" t="str">
        <x:v>赛季前锁定</x:v>
      </x:c>
      <x:c r="F178" s="39" t="str">
        <x:v>将当前赛季设为事件年份前一年</x:v>
      </x:c>
      <x:c r="G178" s="39" t="str">
        <x:v>打开命定事件详情</x:v>
      </x:c>
      <x:c r="H178" s="39" t="str">
        <x:v>未到赛季；分支按钮不可点击</x:v>
      </x:c>
      <x:c r="I178" s="39" t="str">
        <x:v>球队名单与事件记录不变</x:v>
      </x:c>
      <x:c r="J178" s="40" t="str"/>
      <x:c r="K178" s="38" t="str">
        <x:v>未开始</x:v>
      </x:c>
      <x:c r="L178" s="38" t="str"/>
      <x:c r="M178" s="41"/>
      <x:c r="N178" s="38" t="str"/>
      <x:c r="O178" s="38" t="str"/>
    </x:row>
    <x:row r="179" ht="44" customHeight="1">
      <x:c r="A179" s="31" t="str">
        <x:v>FLOW-178</x:v>
      </x:c>
      <x:c r="B179" s="31" t="n">
        <x:v>2023</x:v>
      </x:c>
      <x:c r="C179" s="31" t="str">
        <x:v>lillard_bucks</x:v>
      </x:c>
      <x:c r="D179" s="31" t="str">
        <x:v>利拉德联手字母哥</x:v>
      </x:c>
      <x:c r="E179" s="31" t="str">
        <x:v>必须条件缺失</x:v>
      </x:c>
      <x:c r="F179" s="39" t="str">
        <x:v>进入事件赛季并破坏一项必须条件</x:v>
      </x:c>
      <x:c r="G179" s="39" t="str">
        <x:v>尝试触发</x:v>
      </x:c>
      <x:c r="H179" s="39" t="str">
        <x:v>条件不足；不可触发且无广告补必须条件</x:v>
      </x:c>
      <x:c r="I179" s="39" t="str">
        <x:v>球队名单与事件记录不变</x:v>
      </x:c>
      <x:c r="J179" s="40" t="str"/>
      <x:c r="K179" s="38" t="str">
        <x:v>未开始</x:v>
      </x:c>
      <x:c r="L179" s="38" t="str"/>
      <x:c r="M179" s="41"/>
      <x:c r="N179" s="38" t="str"/>
      <x:c r="O179" s="38" t="str"/>
    </x:row>
    <x:row r="180" ht="44" customHeight="1">
      <x:c r="A180" s="31" t="str">
        <x:v>FLOW-179</x:v>
      </x:c>
      <x:c r="B180" s="31" t="n">
        <x:v>2023</x:v>
      </x:c>
      <x:c r="C180" s="31" t="str">
        <x:v>lillard_bucks</x:v>
      </x:c>
      <x:c r="D180" s="31" t="str">
        <x:v>利拉德联手字母哥</x:v>
      </x:c>
      <x:c r="E180" s="31" t="str">
        <x:v>恰好达到分数</x:v>
      </x:c>
      <x:c r="F180" s="39" t="str">
        <x:v>满足全部必须条件并恰好达到所需分</x:v>
      </x:c>
      <x:c r="G180" s="39" t="str">
        <x:v>选择事件或分支</x:v>
      </x:c>
      <x:c r="H180" s="39" t="str">
        <x:v>可触发</x:v>
      </x:c>
      <x:c r="I180" s="39" t="str">
        <x:v>按结果移动球员、写入完成记录并启用保护期</x:v>
      </x:c>
      <x:c r="J180" s="40" t="str"/>
      <x:c r="K180" s="38" t="str">
        <x:v>未开始</x:v>
      </x:c>
      <x:c r="L180" s="38" t="str"/>
      <x:c r="M180" s="41"/>
      <x:c r="N180" s="38" t="str"/>
      <x:c r="O180" s="38" t="str"/>
    </x:row>
    <x:row r="181" ht="44" customHeight="1">
      <x:c r="A181" s="31" t="str">
        <x:v>FLOW-180</x:v>
      </x:c>
      <x:c r="B181" s="31" t="n">
        <x:v>2023</x:v>
      </x:c>
      <x:c r="C181" s="31" t="str">
        <x:v>lillard_bucks</x:v>
      </x:c>
      <x:c r="D181" s="31" t="str">
        <x:v>利拉德联手字母哥</x:v>
      </x:c>
      <x:c r="E181" s="31" t="str">
        <x:v>仅差1分广告补足</x:v>
      </x:c>
      <x:c r="F181" s="39" t="str">
        <x:v>满足全部必须条件，计分为2/3或1/2</x:v>
      </x:c>
      <x:c r="G181" s="39" t="str">
        <x:v>点击未满足条件后的广告解锁</x:v>
      </x:c>
      <x:c r="H181" s="39" t="str">
        <x:v>广告完成后条件补足并可触发；失败则恢复按钮</x:v>
      </x:c>
      <x:c r="I181" s="39" t="str">
        <x:v>解锁键写入平行模式存档；经典模式不受影响</x:v>
      </x:c>
      <x:c r="J181" s="40" t="str"/>
      <x:c r="K181" s="38" t="str">
        <x:v>未开始</x:v>
      </x:c>
      <x:c r="L181" s="38" t="str"/>
      <x:c r="M181" s="41"/>
      <x:c r="N181" s="38" t="str"/>
      <x:c r="O181" s="38" t="str"/>
    </x:row>
    <x:row r="182" ht="44" customHeight="1">
      <x:c r="A182" s="31" t="str">
        <x:v>FLOW-181</x:v>
      </x:c>
      <x:c r="B182" s="31" t="n">
        <x:v>2023</x:v>
      </x:c>
      <x:c r="C182" s="31" t="str">
        <x:v>lillard_bucks</x:v>
      </x:c>
      <x:c r="D182" s="31" t="str">
        <x:v>利拉德联手字母哥</x:v>
      </x:c>
      <x:c r="E182" s="31" t="str">
        <x:v>主动忽略</x:v>
      </x:c>
      <x:c r="F182" s="39" t="str">
        <x:v>进入事件赛季且未过第55场</x:v>
      </x:c>
      <x:c r="G182" s="39" t="str">
        <x:v>点击忽略</x:v>
      </x:c>
      <x:c r="H182" s="39" t="str">
        <x:v>事件进入已忽略列表</x:v>
      </x:c>
      <x:c r="I182" s="39" t="str">
        <x:v>不执行事件变动；特殊后备结果按定义处理</x:v>
      </x:c>
      <x:c r="J182" s="40" t="str"/>
      <x:c r="K182" s="38" t="str">
        <x:v>未开始</x:v>
      </x:c>
      <x:c r="L182" s="38" t="str"/>
      <x:c r="M182" s="41"/>
      <x:c r="N182" s="38" t="str"/>
      <x:c r="O182" s="38" t="str"/>
    </x:row>
    <x:row r="183" ht="44" customHeight="1">
      <x:c r="A183" s="31" t="str">
        <x:v>FLOW-182</x:v>
      </x:c>
      <x:c r="B183" s="31" t="n">
        <x:v>2023</x:v>
      </x:c>
      <x:c r="C183" s="31" t="str">
        <x:v>lillard_bucks</x:v>
      </x:c>
      <x:c r="D183" s="31" t="str">
        <x:v>利拉德联手字母哥</x:v>
      </x:c>
      <x:c r="E183" s="31" t="str">
        <x:v>截止日自动忽略</x:v>
      </x:c>
      <x:c r="F183" s="39" t="str">
        <x:v>事件未处理并模拟到第56场</x:v>
      </x:c>
      <x:c r="G183" s="39" t="str">
        <x:v>继续赛季</x:v>
      </x:c>
      <x:c r="H183" s="39" t="str">
        <x:v>自动按忽略结算并显示截止日失效</x:v>
      </x:c>
      <x:c r="I183" s="39" t="str">
        <x:v>不得在第56场后触发</x:v>
      </x:c>
      <x:c r="J183" s="40" t="str"/>
      <x:c r="K183" s="38" t="str">
        <x:v>未开始</x:v>
      </x:c>
      <x:c r="L183" s="38" t="str"/>
      <x:c r="M183" s="41"/>
      <x:c r="N183" s="38" t="str"/>
      <x:c r="O183" s="38" t="str"/>
    </x:row>
    <x:row r="184" ht="44" customHeight="1">
      <x:c r="A184" s="31" t="str">
        <x:v>FLOW-183</x:v>
      </x:c>
      <x:c r="B184" s="31" t="n">
        <x:v>2023</x:v>
      </x:c>
      <x:c r="C184" s="31" t="str">
        <x:v>lillard_bucks</x:v>
      </x:c>
      <x:c r="D184" s="31" t="str">
        <x:v>利拉德联手字母哥</x:v>
      </x:c>
      <x:c r="E184" s="31" t="str">
        <x:v>赛季后失效</x:v>
      </x:c>
      <x:c r="F184" s="39" t="str">
        <x:v>将当前赛季设为事件年份后一年且无记录</x:v>
      </x:c>
      <x:c r="G184" s="39" t="str">
        <x:v>打开事件详情</x:v>
      </x:c>
      <x:c r="H184" s="39" t="str">
        <x:v>已失效</x:v>
      </x:c>
      <x:c r="I184" s="39" t="str">
        <x:v>球队名单与事件记录不变</x:v>
      </x:c>
      <x:c r="J184" s="40" t="str"/>
      <x:c r="K184" s="38" t="str">
        <x:v>未开始</x:v>
      </x:c>
      <x:c r="L184" s="38" t="str"/>
      <x:c r="M184" s="41"/>
      <x:c r="N184" s="38" t="str"/>
      <x:c r="O184" s="38" t="str"/>
    </x:row>
    <x:row r="185" ht="44" customHeight="1">
      <x:c r="A185" s="31" t="str">
        <x:v>FLOW-184</x:v>
      </x:c>
      <x:c r="B185" s="31" t="n">
        <x:v>2023</x:v>
      </x:c>
      <x:c r="C185" s="31" t="str">
        <x:v>lillard_bucks</x:v>
      </x:c>
      <x:c r="D185" s="31" t="str">
        <x:v>利拉德联手字母哥</x:v>
      </x:c>
      <x:c r="E185" s="31" t="str">
        <x:v>存档恢复</x:v>
      </x:c>
      <x:c r="F185" s="39" t="str">
        <x:v>完成、忽略或广告解锁后退出并重新进入</x:v>
      </x:c>
      <x:c r="G185" s="39" t="str">
        <x:v>读取平行联盟存档</x:v>
      </x:c>
      <x:c r="H185" s="39" t="str">
        <x:v>处理状态和广告解锁保持一致</x:v>
      </x:c>
      <x:c r="I185" s="39" t="str">
        <x:v>不得重复移动球员或重复消耗广告</x:v>
      </x:c>
      <x:c r="J185" s="40" t="str"/>
      <x:c r="K185" s="38" t="str">
        <x:v>未开始</x:v>
      </x:c>
      <x:c r="L185" s="38" t="str"/>
      <x:c r="M185" s="41"/>
      <x:c r="N185" s="38" t="str"/>
      <x:c r="O185" s="38" t="str"/>
    </x:row>
    <x:row r="186" ht="44" customHeight="1">
      <x:c r="A186" s="31" t="str">
        <x:v>FLOW-185</x:v>
      </x:c>
      <x:c r="B186" s="31" t="n">
        <x:v>2023</x:v>
      </x:c>
      <x:c r="C186" s="31" t="str">
        <x:v>harden_clippers</x:v>
      </x:c>
      <x:c r="D186" s="31" t="str">
        <x:v>哈登回到家乡</x:v>
      </x:c>
      <x:c r="E186" s="31" t="str">
        <x:v>赛季前锁定</x:v>
      </x:c>
      <x:c r="F186" s="39" t="str">
        <x:v>将当前赛季设为事件年份前一年</x:v>
      </x:c>
      <x:c r="G186" s="39" t="str">
        <x:v>打开命定事件详情</x:v>
      </x:c>
      <x:c r="H186" s="39" t="str">
        <x:v>未到赛季；分支按钮不可点击</x:v>
      </x:c>
      <x:c r="I186" s="39" t="str">
        <x:v>球队名单与事件记录不变</x:v>
      </x:c>
      <x:c r="J186" s="40" t="str"/>
      <x:c r="K186" s="38" t="str">
        <x:v>未开始</x:v>
      </x:c>
      <x:c r="L186" s="38" t="str"/>
      <x:c r="M186" s="41"/>
      <x:c r="N186" s="38" t="str"/>
      <x:c r="O186" s="38" t="str"/>
    </x:row>
    <x:row r="187" ht="44" customHeight="1">
      <x:c r="A187" s="31" t="str">
        <x:v>FLOW-186</x:v>
      </x:c>
      <x:c r="B187" s="31" t="n">
        <x:v>2023</x:v>
      </x:c>
      <x:c r="C187" s="31" t="str">
        <x:v>harden_clippers</x:v>
      </x:c>
      <x:c r="D187" s="31" t="str">
        <x:v>哈登回到家乡</x:v>
      </x:c>
      <x:c r="E187" s="31" t="str">
        <x:v>必须条件缺失</x:v>
      </x:c>
      <x:c r="F187" s="39" t="str">
        <x:v>进入事件赛季并破坏一项必须条件</x:v>
      </x:c>
      <x:c r="G187" s="39" t="str">
        <x:v>尝试触发</x:v>
      </x:c>
      <x:c r="H187" s="39" t="str">
        <x:v>条件不足；不可触发且无广告补必须条件</x:v>
      </x:c>
      <x:c r="I187" s="39" t="str">
        <x:v>球队名单与事件记录不变</x:v>
      </x:c>
      <x:c r="J187" s="40" t="str"/>
      <x:c r="K187" s="38" t="str">
        <x:v>未开始</x:v>
      </x:c>
      <x:c r="L187" s="38" t="str"/>
      <x:c r="M187" s="41"/>
      <x:c r="N187" s="38" t="str"/>
      <x:c r="O187" s="38" t="str"/>
    </x:row>
    <x:row r="188" ht="44" customHeight="1">
      <x:c r="A188" s="31" t="str">
        <x:v>FLOW-187</x:v>
      </x:c>
      <x:c r="B188" s="31" t="n">
        <x:v>2023</x:v>
      </x:c>
      <x:c r="C188" s="31" t="str">
        <x:v>harden_clippers</x:v>
      </x:c>
      <x:c r="D188" s="31" t="str">
        <x:v>哈登回到家乡</x:v>
      </x:c>
      <x:c r="E188" s="31" t="str">
        <x:v>恰好达到分数</x:v>
      </x:c>
      <x:c r="F188" s="39" t="str">
        <x:v>满足全部必须条件并恰好达到所需分</x:v>
      </x:c>
      <x:c r="G188" s="39" t="str">
        <x:v>选择事件或分支</x:v>
      </x:c>
      <x:c r="H188" s="39" t="str">
        <x:v>可触发</x:v>
      </x:c>
      <x:c r="I188" s="39" t="str">
        <x:v>按结果移动球员、写入完成记录并启用保护期</x:v>
      </x:c>
      <x:c r="J188" s="40" t="str"/>
      <x:c r="K188" s="38" t="str">
        <x:v>未开始</x:v>
      </x:c>
      <x:c r="L188" s="38" t="str"/>
      <x:c r="M188" s="41"/>
      <x:c r="N188" s="38" t="str"/>
      <x:c r="O188" s="38" t="str"/>
    </x:row>
    <x:row r="189" ht="44" customHeight="1">
      <x:c r="A189" s="31" t="str">
        <x:v>FLOW-188</x:v>
      </x:c>
      <x:c r="B189" s="31" t="n">
        <x:v>2023</x:v>
      </x:c>
      <x:c r="C189" s="31" t="str">
        <x:v>harden_clippers</x:v>
      </x:c>
      <x:c r="D189" s="31" t="str">
        <x:v>哈登回到家乡</x:v>
      </x:c>
      <x:c r="E189" s="31" t="str">
        <x:v>仅差1分广告补足</x:v>
      </x:c>
      <x:c r="F189" s="39" t="str">
        <x:v>满足全部必须条件，计分为2/3或1/2</x:v>
      </x:c>
      <x:c r="G189" s="39" t="str">
        <x:v>点击未满足条件后的广告解锁</x:v>
      </x:c>
      <x:c r="H189" s="39" t="str">
        <x:v>广告完成后条件补足并可触发；失败则恢复按钮</x:v>
      </x:c>
      <x:c r="I189" s="39" t="str">
        <x:v>解锁键写入平行模式存档；经典模式不受影响</x:v>
      </x:c>
      <x:c r="J189" s="40" t="str"/>
      <x:c r="K189" s="38" t="str">
        <x:v>未开始</x:v>
      </x:c>
      <x:c r="L189" s="38" t="str"/>
      <x:c r="M189" s="41"/>
      <x:c r="N189" s="38" t="str"/>
      <x:c r="O189" s="38" t="str"/>
    </x:row>
    <x:row r="190" ht="44" customHeight="1">
      <x:c r="A190" s="31" t="str">
        <x:v>FLOW-189</x:v>
      </x:c>
      <x:c r="B190" s="31" t="n">
        <x:v>2023</x:v>
      </x:c>
      <x:c r="C190" s="31" t="str">
        <x:v>harden_clippers</x:v>
      </x:c>
      <x:c r="D190" s="31" t="str">
        <x:v>哈登回到家乡</x:v>
      </x:c>
      <x:c r="E190" s="31" t="str">
        <x:v>主动忽略</x:v>
      </x:c>
      <x:c r="F190" s="39" t="str">
        <x:v>进入事件赛季且未过第55场</x:v>
      </x:c>
      <x:c r="G190" s="39" t="str">
        <x:v>点击忽略</x:v>
      </x:c>
      <x:c r="H190" s="39" t="str">
        <x:v>事件进入已忽略列表</x:v>
      </x:c>
      <x:c r="I190" s="39" t="str">
        <x:v>不执行事件变动；特殊后备结果按定义处理</x:v>
      </x:c>
      <x:c r="J190" s="40" t="str"/>
      <x:c r="K190" s="38" t="str">
        <x:v>未开始</x:v>
      </x:c>
      <x:c r="L190" s="38" t="str"/>
      <x:c r="M190" s="41"/>
      <x:c r="N190" s="38" t="str"/>
      <x:c r="O190" s="38" t="str"/>
    </x:row>
    <x:row r="191" ht="44" customHeight="1">
      <x:c r="A191" s="31" t="str">
        <x:v>FLOW-190</x:v>
      </x:c>
      <x:c r="B191" s="31" t="n">
        <x:v>2023</x:v>
      </x:c>
      <x:c r="C191" s="31" t="str">
        <x:v>harden_clippers</x:v>
      </x:c>
      <x:c r="D191" s="31" t="str">
        <x:v>哈登回到家乡</x:v>
      </x:c>
      <x:c r="E191" s="31" t="str">
        <x:v>截止日自动忽略</x:v>
      </x:c>
      <x:c r="F191" s="39" t="str">
        <x:v>事件未处理并模拟到第56场</x:v>
      </x:c>
      <x:c r="G191" s="39" t="str">
        <x:v>继续赛季</x:v>
      </x:c>
      <x:c r="H191" s="39" t="str">
        <x:v>自动按忽略结算并显示截止日失效</x:v>
      </x:c>
      <x:c r="I191" s="39" t="str">
        <x:v>不得在第56场后触发</x:v>
      </x:c>
      <x:c r="J191" s="40" t="str"/>
      <x:c r="K191" s="38" t="str">
        <x:v>未开始</x:v>
      </x:c>
      <x:c r="L191" s="38" t="str"/>
      <x:c r="M191" s="41"/>
      <x:c r="N191" s="38" t="str"/>
      <x:c r="O191" s="38" t="str"/>
    </x:row>
    <x:row r="192" ht="44" customHeight="1">
      <x:c r="A192" s="31" t="str">
        <x:v>FLOW-191</x:v>
      </x:c>
      <x:c r="B192" s="31" t="n">
        <x:v>2023</x:v>
      </x:c>
      <x:c r="C192" s="31" t="str">
        <x:v>harden_clippers</x:v>
      </x:c>
      <x:c r="D192" s="31" t="str">
        <x:v>哈登回到家乡</x:v>
      </x:c>
      <x:c r="E192" s="31" t="str">
        <x:v>赛季后失效</x:v>
      </x:c>
      <x:c r="F192" s="39" t="str">
        <x:v>将当前赛季设为事件年份后一年且无记录</x:v>
      </x:c>
      <x:c r="G192" s="39" t="str">
        <x:v>打开事件详情</x:v>
      </x:c>
      <x:c r="H192" s="39" t="str">
        <x:v>已失效</x:v>
      </x:c>
      <x:c r="I192" s="39" t="str">
        <x:v>球队名单与事件记录不变</x:v>
      </x:c>
      <x:c r="J192" s="40" t="str"/>
      <x:c r="K192" s="38" t="str">
        <x:v>未开始</x:v>
      </x:c>
      <x:c r="L192" s="38" t="str"/>
      <x:c r="M192" s="41"/>
      <x:c r="N192" s="38" t="str"/>
      <x:c r="O192" s="38" t="str"/>
    </x:row>
    <x:row r="193" ht="44" customHeight="1">
      <x:c r="A193" s="31" t="str">
        <x:v>FLOW-192</x:v>
      </x:c>
      <x:c r="B193" s="31" t="n">
        <x:v>2023</x:v>
      </x:c>
      <x:c r="C193" s="31" t="str">
        <x:v>harden_clippers</x:v>
      </x:c>
      <x:c r="D193" s="31" t="str">
        <x:v>哈登回到家乡</x:v>
      </x:c>
      <x:c r="E193" s="31" t="str">
        <x:v>存档恢复</x:v>
      </x:c>
      <x:c r="F193" s="39" t="str">
        <x:v>完成、忽略或广告解锁后退出并重新进入</x:v>
      </x:c>
      <x:c r="G193" s="39" t="str">
        <x:v>读取平行联盟存档</x:v>
      </x:c>
      <x:c r="H193" s="39" t="str">
        <x:v>处理状态和广告解锁保持一致</x:v>
      </x:c>
      <x:c r="I193" s="39" t="str">
        <x:v>不得重复移动球员或重复消耗广告</x:v>
      </x:c>
      <x:c r="J193" s="40" t="str"/>
      <x:c r="K193" s="38" t="str">
        <x:v>未开始</x:v>
      </x:c>
      <x:c r="L193" s="38" t="str"/>
      <x:c r="M193" s="41"/>
      <x:c r="N193" s="38" t="str"/>
      <x:c r="O193" s="38" t="str"/>
    </x:row>
    <x:row r="194" ht="44" customHeight="1">
      <x:c r="A194" s="31" t="str">
        <x:v>FLOW-193</x:v>
      </x:c>
      <x:c r="B194" s="31" t="n">
        <x:v>2024</x:v>
      </x:c>
      <x:c r="C194" s="31" t="str">
        <x:v>klay_leaves_warriors</x:v>
      </x:c>
      <x:c r="D194" s="31" t="str">
        <x:v>汤普森告别金州</x:v>
      </x:c>
      <x:c r="E194" s="31" t="str">
        <x:v>赛季前锁定</x:v>
      </x:c>
      <x:c r="F194" s="39" t="str">
        <x:v>将当前赛季设为事件年份前一年</x:v>
      </x:c>
      <x:c r="G194" s="39" t="str">
        <x:v>打开命定事件详情</x:v>
      </x:c>
      <x:c r="H194" s="39" t="str">
        <x:v>未到赛季；分支按钮不可点击</x:v>
      </x:c>
      <x:c r="I194" s="39" t="str">
        <x:v>球队名单与事件记录不变</x:v>
      </x:c>
      <x:c r="J194" s="40" t="str"/>
      <x:c r="K194" s="38" t="str">
        <x:v>未开始</x:v>
      </x:c>
      <x:c r="L194" s="38" t="str"/>
      <x:c r="M194" s="41"/>
      <x:c r="N194" s="38" t="str"/>
      <x:c r="O194" s="38" t="str"/>
    </x:row>
    <x:row r="195" ht="44" customHeight="1">
      <x:c r="A195" s="31" t="str">
        <x:v>FLOW-194</x:v>
      </x:c>
      <x:c r="B195" s="31" t="n">
        <x:v>2024</x:v>
      </x:c>
      <x:c r="C195" s="31" t="str">
        <x:v>klay_leaves_warriors</x:v>
      </x:c>
      <x:c r="D195" s="31" t="str">
        <x:v>汤普森告别金州</x:v>
      </x:c>
      <x:c r="E195" s="31" t="str">
        <x:v>必须条件缺失</x:v>
      </x:c>
      <x:c r="F195" s="39" t="str">
        <x:v>进入事件赛季并破坏一项必须条件</x:v>
      </x:c>
      <x:c r="G195" s="39" t="str">
        <x:v>尝试触发</x:v>
      </x:c>
      <x:c r="H195" s="39" t="str">
        <x:v>条件不足；不可触发且无广告补必须条件</x:v>
      </x:c>
      <x:c r="I195" s="39" t="str">
        <x:v>球队名单与事件记录不变</x:v>
      </x:c>
      <x:c r="J195" s="40" t="str"/>
      <x:c r="K195" s="38" t="str">
        <x:v>未开始</x:v>
      </x:c>
      <x:c r="L195" s="38" t="str"/>
      <x:c r="M195" s="41"/>
      <x:c r="N195" s="38" t="str"/>
      <x:c r="O195" s="38" t="str"/>
    </x:row>
    <x:row r="196" ht="44" customHeight="1">
      <x:c r="A196" s="31" t="str">
        <x:v>FLOW-195</x:v>
      </x:c>
      <x:c r="B196" s="31" t="n">
        <x:v>2024</x:v>
      </x:c>
      <x:c r="C196" s="31" t="str">
        <x:v>klay_leaves_warriors</x:v>
      </x:c>
      <x:c r="D196" s="31" t="str">
        <x:v>汤普森告别金州</x:v>
      </x:c>
      <x:c r="E196" s="31" t="str">
        <x:v>恰好达到分数</x:v>
      </x:c>
      <x:c r="F196" s="39" t="str">
        <x:v>满足全部必须条件并恰好达到所需分</x:v>
      </x:c>
      <x:c r="G196" s="39" t="str">
        <x:v>选择事件或分支</x:v>
      </x:c>
      <x:c r="H196" s="39" t="str">
        <x:v>可触发</x:v>
      </x:c>
      <x:c r="I196" s="39" t="str">
        <x:v>按结果移动球员、写入完成记录并启用保护期</x:v>
      </x:c>
      <x:c r="J196" s="40" t="str"/>
      <x:c r="K196" s="38" t="str">
        <x:v>未开始</x:v>
      </x:c>
      <x:c r="L196" s="38" t="str"/>
      <x:c r="M196" s="41"/>
      <x:c r="N196" s="38" t="str"/>
      <x:c r="O196" s="38" t="str"/>
    </x:row>
    <x:row r="197" ht="44" customHeight="1">
      <x:c r="A197" s="31" t="str">
        <x:v>FLOW-196</x:v>
      </x:c>
      <x:c r="B197" s="31" t="n">
        <x:v>2024</x:v>
      </x:c>
      <x:c r="C197" s="31" t="str">
        <x:v>klay_leaves_warriors</x:v>
      </x:c>
      <x:c r="D197" s="31" t="str">
        <x:v>汤普森告别金州</x:v>
      </x:c>
      <x:c r="E197" s="31" t="str">
        <x:v>仅差1分广告补足</x:v>
      </x:c>
      <x:c r="F197" s="39" t="str">
        <x:v>满足全部必须条件，计分为2/3或1/2</x:v>
      </x:c>
      <x:c r="G197" s="39" t="str">
        <x:v>点击未满足条件后的广告解锁</x:v>
      </x:c>
      <x:c r="H197" s="39" t="str">
        <x:v>广告完成后条件补足并可触发；失败则恢复按钮</x:v>
      </x:c>
      <x:c r="I197" s="39" t="str">
        <x:v>解锁键写入平行模式存档；经典模式不受影响</x:v>
      </x:c>
      <x:c r="J197" s="40" t="str"/>
      <x:c r="K197" s="38" t="str">
        <x:v>未开始</x:v>
      </x:c>
      <x:c r="L197" s="38" t="str"/>
      <x:c r="M197" s="41"/>
      <x:c r="N197" s="38" t="str"/>
      <x:c r="O197" s="38" t="str"/>
    </x:row>
    <x:row r="198" ht="44" customHeight="1">
      <x:c r="A198" s="31" t="str">
        <x:v>FLOW-197</x:v>
      </x:c>
      <x:c r="B198" s="31" t="n">
        <x:v>2024</x:v>
      </x:c>
      <x:c r="C198" s="31" t="str">
        <x:v>klay_leaves_warriors</x:v>
      </x:c>
      <x:c r="D198" s="31" t="str">
        <x:v>汤普森告别金州</x:v>
      </x:c>
      <x:c r="E198" s="31" t="str">
        <x:v>主动忽略</x:v>
      </x:c>
      <x:c r="F198" s="39" t="str">
        <x:v>进入事件赛季且未过第55场</x:v>
      </x:c>
      <x:c r="G198" s="39" t="str">
        <x:v>点击忽略</x:v>
      </x:c>
      <x:c r="H198" s="39" t="str">
        <x:v>事件进入已忽略列表</x:v>
      </x:c>
      <x:c r="I198" s="39" t="str">
        <x:v>不执行事件变动；特殊后备结果按定义处理</x:v>
      </x:c>
      <x:c r="J198" s="40" t="str"/>
      <x:c r="K198" s="38" t="str">
        <x:v>未开始</x:v>
      </x:c>
      <x:c r="L198" s="38" t="str"/>
      <x:c r="M198" s="41"/>
      <x:c r="N198" s="38" t="str"/>
      <x:c r="O198" s="38" t="str"/>
    </x:row>
    <x:row r="199" ht="44" customHeight="1">
      <x:c r="A199" s="31" t="str">
        <x:v>FLOW-198</x:v>
      </x:c>
      <x:c r="B199" s="31" t="n">
        <x:v>2024</x:v>
      </x:c>
      <x:c r="C199" s="31" t="str">
        <x:v>klay_leaves_warriors</x:v>
      </x:c>
      <x:c r="D199" s="31" t="str">
        <x:v>汤普森告别金州</x:v>
      </x:c>
      <x:c r="E199" s="31" t="str">
        <x:v>截止日自动忽略</x:v>
      </x:c>
      <x:c r="F199" s="39" t="str">
        <x:v>事件未处理并模拟到第56场</x:v>
      </x:c>
      <x:c r="G199" s="39" t="str">
        <x:v>继续赛季</x:v>
      </x:c>
      <x:c r="H199" s="39" t="str">
        <x:v>自动按忽略结算并显示截止日失效</x:v>
      </x:c>
      <x:c r="I199" s="39" t="str">
        <x:v>不得在第56场后触发</x:v>
      </x:c>
      <x:c r="J199" s="40" t="str"/>
      <x:c r="K199" s="38" t="str">
        <x:v>未开始</x:v>
      </x:c>
      <x:c r="L199" s="38" t="str"/>
      <x:c r="M199" s="41"/>
      <x:c r="N199" s="38" t="str"/>
      <x:c r="O199" s="38" t="str"/>
    </x:row>
    <x:row r="200" ht="44" customHeight="1">
      <x:c r="A200" s="31" t="str">
        <x:v>FLOW-199</x:v>
      </x:c>
      <x:c r="B200" s="31" t="n">
        <x:v>2024</x:v>
      </x:c>
      <x:c r="C200" s="31" t="str">
        <x:v>klay_leaves_warriors</x:v>
      </x:c>
      <x:c r="D200" s="31" t="str">
        <x:v>汤普森告别金州</x:v>
      </x:c>
      <x:c r="E200" s="31" t="str">
        <x:v>赛季后失效</x:v>
      </x:c>
      <x:c r="F200" s="39" t="str">
        <x:v>将当前赛季设为事件年份后一年且无记录</x:v>
      </x:c>
      <x:c r="G200" s="39" t="str">
        <x:v>打开事件详情</x:v>
      </x:c>
      <x:c r="H200" s="39" t="str">
        <x:v>已失效</x:v>
      </x:c>
      <x:c r="I200" s="39" t="str">
        <x:v>球队名单与事件记录不变</x:v>
      </x:c>
      <x:c r="J200" s="40" t="str"/>
      <x:c r="K200" s="38" t="str">
        <x:v>未开始</x:v>
      </x:c>
      <x:c r="L200" s="38" t="str"/>
      <x:c r="M200" s="41"/>
      <x:c r="N200" s="38" t="str"/>
      <x:c r="O200" s="38" t="str"/>
    </x:row>
    <x:row r="201" ht="44" customHeight="1">
      <x:c r="A201" s="31" t="str">
        <x:v>FLOW-200</x:v>
      </x:c>
      <x:c r="B201" s="31" t="n">
        <x:v>2024</x:v>
      </x:c>
      <x:c r="C201" s="31" t="str">
        <x:v>klay_leaves_warriors</x:v>
      </x:c>
      <x:c r="D201" s="31" t="str">
        <x:v>汤普森告别金州</x:v>
      </x:c>
      <x:c r="E201" s="31" t="str">
        <x:v>存档恢复</x:v>
      </x:c>
      <x:c r="F201" s="39" t="str">
        <x:v>完成、忽略或广告解锁后退出并重新进入</x:v>
      </x:c>
      <x:c r="G201" s="39" t="str">
        <x:v>读取平行联盟存档</x:v>
      </x:c>
      <x:c r="H201" s="39" t="str">
        <x:v>处理状态和广告解锁保持一致</x:v>
      </x:c>
      <x:c r="I201" s="39" t="str">
        <x:v>不得重复移动球员或重复消耗广告</x:v>
      </x:c>
      <x:c r="J201" s="40" t="str"/>
      <x:c r="K201" s="38" t="str">
        <x:v>未开始</x:v>
      </x:c>
      <x:c r="L201" s="38" t="str"/>
      <x:c r="M201" s="41"/>
      <x:c r="N201" s="38" t="str"/>
      <x:c r="O201" s="38" t="str"/>
    </x:row>
    <x:row r="202" ht="44" customHeight="1">
      <x:c r="A202" s="31" t="str">
        <x:v>FLOW-201</x:v>
      </x:c>
      <x:c r="B202" s="31" t="n">
        <x:v>2025</x:v>
      </x:c>
      <x:c r="C202" s="31" t="str">
        <x:v>luka_davis_swap</x:v>
      </x:c>
      <x:c r="D202" s="31" t="str">
        <x:v>洛城与达拉斯的世纪互换</x:v>
      </x:c>
      <x:c r="E202" s="31" t="str">
        <x:v>赛季前锁定</x:v>
      </x:c>
      <x:c r="F202" s="39" t="str">
        <x:v>将当前赛季设为事件年份前一年</x:v>
      </x:c>
      <x:c r="G202" s="39" t="str">
        <x:v>打开命定事件详情</x:v>
      </x:c>
      <x:c r="H202" s="39" t="str">
        <x:v>未到赛季；分支按钮不可点击</x:v>
      </x:c>
      <x:c r="I202" s="39" t="str">
        <x:v>球队名单与事件记录不变</x:v>
      </x:c>
      <x:c r="J202" s="40" t="str"/>
      <x:c r="K202" s="38" t="str">
        <x:v>未开始</x:v>
      </x:c>
      <x:c r="L202" s="38" t="str"/>
      <x:c r="M202" s="41"/>
      <x:c r="N202" s="38" t="str"/>
      <x:c r="O202" s="38" t="str"/>
    </x:row>
    <x:row r="203" ht="44" customHeight="1">
      <x:c r="A203" s="31" t="str">
        <x:v>FLOW-202</x:v>
      </x:c>
      <x:c r="B203" s="31" t="n">
        <x:v>2025</x:v>
      </x:c>
      <x:c r="C203" s="31" t="str">
        <x:v>luka_davis_swap</x:v>
      </x:c>
      <x:c r="D203" s="31" t="str">
        <x:v>洛城与达拉斯的世纪互换</x:v>
      </x:c>
      <x:c r="E203" s="31" t="str">
        <x:v>必须条件缺失</x:v>
      </x:c>
      <x:c r="F203" s="39" t="str">
        <x:v>进入事件赛季并破坏一项必须条件</x:v>
      </x:c>
      <x:c r="G203" s="39" t="str">
        <x:v>尝试触发</x:v>
      </x:c>
      <x:c r="H203" s="39" t="str">
        <x:v>条件不足；不可触发且无广告补必须条件</x:v>
      </x:c>
      <x:c r="I203" s="39" t="str">
        <x:v>球队名单与事件记录不变</x:v>
      </x:c>
      <x:c r="J203" s="40" t="str"/>
      <x:c r="K203" s="38" t="str">
        <x:v>未开始</x:v>
      </x:c>
      <x:c r="L203" s="38" t="str"/>
      <x:c r="M203" s="41"/>
      <x:c r="N203" s="38" t="str"/>
      <x:c r="O203" s="38" t="str"/>
    </x:row>
    <x:row r="204" ht="44" customHeight="1">
      <x:c r="A204" s="31" t="str">
        <x:v>FLOW-203</x:v>
      </x:c>
      <x:c r="B204" s="31" t="n">
        <x:v>2025</x:v>
      </x:c>
      <x:c r="C204" s="31" t="str">
        <x:v>luka_davis_swap</x:v>
      </x:c>
      <x:c r="D204" s="31" t="str">
        <x:v>洛城与达拉斯的世纪互换</x:v>
      </x:c>
      <x:c r="E204" s="31" t="str">
        <x:v>恰好达到分数</x:v>
      </x:c>
      <x:c r="F204" s="39" t="str">
        <x:v>满足全部必须条件并恰好达到所需分</x:v>
      </x:c>
      <x:c r="G204" s="39" t="str">
        <x:v>选择事件或分支</x:v>
      </x:c>
      <x:c r="H204" s="39" t="str">
        <x:v>可触发</x:v>
      </x:c>
      <x:c r="I204" s="39" t="str">
        <x:v>按结果移动球员、写入完成记录并启用保护期</x:v>
      </x:c>
      <x:c r="J204" s="40" t="str"/>
      <x:c r="K204" s="38" t="str">
        <x:v>未开始</x:v>
      </x:c>
      <x:c r="L204" s="38" t="str"/>
      <x:c r="M204" s="41"/>
      <x:c r="N204" s="38" t="str"/>
      <x:c r="O204" s="38" t="str"/>
    </x:row>
    <x:row r="205" ht="44" customHeight="1">
      <x:c r="A205" s="31" t="str">
        <x:v>FLOW-204</x:v>
      </x:c>
      <x:c r="B205" s="31" t="n">
        <x:v>2025</x:v>
      </x:c>
      <x:c r="C205" s="31" t="str">
        <x:v>luka_davis_swap</x:v>
      </x:c>
      <x:c r="D205" s="31" t="str">
        <x:v>洛城与达拉斯的世纪互换</x:v>
      </x:c>
      <x:c r="E205" s="31" t="str">
        <x:v>仅差1分广告补足</x:v>
      </x:c>
      <x:c r="F205" s="39" t="str">
        <x:v>满足全部必须条件，计分为2/3或1/2</x:v>
      </x:c>
      <x:c r="G205" s="39" t="str">
        <x:v>点击未满足条件后的广告解锁</x:v>
      </x:c>
      <x:c r="H205" s="39" t="str">
        <x:v>广告完成后条件补足并可触发；失败则恢复按钮</x:v>
      </x:c>
      <x:c r="I205" s="39" t="str">
        <x:v>解锁键写入平行模式存档；经典模式不受影响</x:v>
      </x:c>
      <x:c r="J205" s="40" t="str"/>
      <x:c r="K205" s="38" t="str">
        <x:v>未开始</x:v>
      </x:c>
      <x:c r="L205" s="38" t="str"/>
      <x:c r="M205" s="41"/>
      <x:c r="N205" s="38" t="str"/>
      <x:c r="O205" s="38" t="str"/>
    </x:row>
    <x:row r="206" ht="44" customHeight="1">
      <x:c r="A206" s="31" t="str">
        <x:v>FLOW-205</x:v>
      </x:c>
      <x:c r="B206" s="31" t="n">
        <x:v>2025</x:v>
      </x:c>
      <x:c r="C206" s="31" t="str">
        <x:v>luka_davis_swap</x:v>
      </x:c>
      <x:c r="D206" s="31" t="str">
        <x:v>洛城与达拉斯的世纪互换</x:v>
      </x:c>
      <x:c r="E206" s="31" t="str">
        <x:v>主动忽略</x:v>
      </x:c>
      <x:c r="F206" s="39" t="str">
        <x:v>进入事件赛季且未过第55场</x:v>
      </x:c>
      <x:c r="G206" s="39" t="str">
        <x:v>点击忽略</x:v>
      </x:c>
      <x:c r="H206" s="39" t="str">
        <x:v>事件进入已忽略列表</x:v>
      </x:c>
      <x:c r="I206" s="39" t="str">
        <x:v>不执行事件变动；特殊后备结果按定义处理</x:v>
      </x:c>
      <x:c r="J206" s="40" t="str"/>
      <x:c r="K206" s="38" t="str">
        <x:v>未开始</x:v>
      </x:c>
      <x:c r="L206" s="38" t="str"/>
      <x:c r="M206" s="41"/>
      <x:c r="N206" s="38" t="str"/>
      <x:c r="O206" s="38" t="str"/>
    </x:row>
    <x:row r="207" ht="44" customHeight="1">
      <x:c r="A207" s="31" t="str">
        <x:v>FLOW-206</x:v>
      </x:c>
      <x:c r="B207" s="31" t="n">
        <x:v>2025</x:v>
      </x:c>
      <x:c r="C207" s="31" t="str">
        <x:v>luka_davis_swap</x:v>
      </x:c>
      <x:c r="D207" s="31" t="str">
        <x:v>洛城与达拉斯的世纪互换</x:v>
      </x:c>
      <x:c r="E207" s="31" t="str">
        <x:v>截止日自动忽略</x:v>
      </x:c>
      <x:c r="F207" s="39" t="str">
        <x:v>事件未处理并模拟到第56场</x:v>
      </x:c>
      <x:c r="G207" s="39" t="str">
        <x:v>继续赛季</x:v>
      </x:c>
      <x:c r="H207" s="39" t="str">
        <x:v>自动按忽略结算并显示截止日失效</x:v>
      </x:c>
      <x:c r="I207" s="39" t="str">
        <x:v>不得在第56场后触发</x:v>
      </x:c>
      <x:c r="J207" s="40" t="str"/>
      <x:c r="K207" s="38" t="str">
        <x:v>未开始</x:v>
      </x:c>
      <x:c r="L207" s="38" t="str"/>
      <x:c r="M207" s="41"/>
      <x:c r="N207" s="38" t="str"/>
      <x:c r="O207" s="38" t="str"/>
    </x:row>
    <x:row r="208" ht="44" customHeight="1">
      <x:c r="A208" s="31" t="str">
        <x:v>FLOW-207</x:v>
      </x:c>
      <x:c r="B208" s="31" t="n">
        <x:v>2025</x:v>
      </x:c>
      <x:c r="C208" s="31" t="str">
        <x:v>luka_davis_swap</x:v>
      </x:c>
      <x:c r="D208" s="31" t="str">
        <x:v>洛城与达拉斯的世纪互换</x:v>
      </x:c>
      <x:c r="E208" s="31" t="str">
        <x:v>赛季后失效</x:v>
      </x:c>
      <x:c r="F208" s="39" t="str">
        <x:v>将当前赛季设为事件年份后一年且无记录</x:v>
      </x:c>
      <x:c r="G208" s="39" t="str">
        <x:v>打开事件详情</x:v>
      </x:c>
      <x:c r="H208" s="39" t="str">
        <x:v>已失效</x:v>
      </x:c>
      <x:c r="I208" s="39" t="str">
        <x:v>球队名单与事件记录不变</x:v>
      </x:c>
      <x:c r="J208" s="40" t="str"/>
      <x:c r="K208" s="38" t="str">
        <x:v>未开始</x:v>
      </x:c>
      <x:c r="L208" s="38" t="str"/>
      <x:c r="M208" s="41"/>
      <x:c r="N208" s="38" t="str"/>
      <x:c r="O208" s="38" t="str"/>
    </x:row>
    <x:row r="209" ht="44" customHeight="1">
      <x:c r="A209" s="31" t="str">
        <x:v>FLOW-208</x:v>
      </x:c>
      <x:c r="B209" s="31" t="n">
        <x:v>2025</x:v>
      </x:c>
      <x:c r="C209" s="31" t="str">
        <x:v>luka_davis_swap</x:v>
      </x:c>
      <x:c r="D209" s="31" t="str">
        <x:v>洛城与达拉斯的世纪互换</x:v>
      </x:c>
      <x:c r="E209" s="31" t="str">
        <x:v>存档恢复</x:v>
      </x:c>
      <x:c r="F209" s="39" t="str">
        <x:v>完成、忽略或广告解锁后退出并重新进入</x:v>
      </x:c>
      <x:c r="G209" s="39" t="str">
        <x:v>读取平行联盟存档</x:v>
      </x:c>
      <x:c r="H209" s="39" t="str">
        <x:v>处理状态和广告解锁保持一致</x:v>
      </x:c>
      <x:c r="I209" s="39" t="str">
        <x:v>不得重复移动球员或重复消耗广告</x:v>
      </x:c>
      <x:c r="J209" s="40" t="str"/>
      <x:c r="K209" s="38" t="str">
        <x:v>未开始</x:v>
      </x:c>
      <x:c r="L209" s="38" t="str"/>
      <x:c r="M209" s="41"/>
      <x:c r="N209" s="38" t="str"/>
      <x:c r="O209" s="38" t="str"/>
    </x:row>
    <x:row r="210" ht="44" customHeight="1">
      <x:c r="A210" s="31" t="str">
        <x:v>FLOW-209</x:v>
      </x:c>
      <x:c r="B210" s="31" t="str"/>
      <x:c r="C210" s="31" t="str">
        <x:v>GLOBAL</x:v>
      </x:c>
      <x:c r="D210" s="31" t="str">
        <x:v>模式隔离</x:v>
      </x:c>
      <x:c r="E210" s="31" t="str">
        <x:v>经典模式入口隔离</x:v>
      </x:c>
      <x:c r="F210" s="39" t="str">
        <x:v>分别进入经典模式和平行联盟</x:v>
      </x:c>
      <x:c r="G210" s="39" t="str">
        <x:v>检查赛季首页与存档</x:v>
      </x:c>
      <x:c r="H210" s="39" t="str">
        <x:v>经典模式不显示命定事件入口</x:v>
      </x:c>
      <x:c r="I210" s="39" t="str">
        <x:v>两种模式存档、排行榜及事件数据互不影响</x:v>
      </x:c>
      <x:c r="J210" s="40" t="str"/>
      <x:c r="K210" s="38" t="str">
        <x:v>未开始</x:v>
      </x:c>
      <x:c r="L210" s="38" t="str"/>
      <x:c r="M210" s="41"/>
      <x:c r="N210" s="38" t="str"/>
      <x:c r="O210" s="38" t="str"/>
    </x:row>
    <x:row r="211" ht="44" customHeight="1">
      <x:c r="A211" s="31" t="str">
        <x:v>FLOW-210</x:v>
      </x:c>
      <x:c r="B211" s="31" t="str"/>
      <x:c r="C211" s="31" t="str">
        <x:v>GLOBAL</x:v>
      </x:c>
      <x:c r="D211" s="31" t="str">
        <x:v>旧存档兼容</x:v>
      </x:c>
      <x:c r="E211" s="31" t="str">
        <x:v>缺少广告解锁字段</x:v>
      </x:c>
      <x:c r="F211" s="39" t="str">
        <x:v>加载更新前的平行联盟存档</x:v>
      </x:c>
      <x:c r="G211" s="39" t="str">
        <x:v>进入命定事件页面</x:v>
      </x:c>
      <x:c r="H211" s="39" t="str">
        <x:v>页面正常打开，解锁记录按空集合处理</x:v>
      </x:c>
      <x:c r="I211" s="39" t="str">
        <x:v>旧存档其他字段不变</x:v>
      </x:c>
      <x:c r="J211" s="40" t="str"/>
      <x:c r="K211" s="38" t="str">
        <x:v>未开始</x:v>
      </x:c>
      <x:c r="L211" s="38" t="str"/>
      <x:c r="M211" s="41"/>
      <x:c r="N211" s="38" t="str"/>
      <x:c r="O211" s="38" t="str"/>
    </x:row>
    <x:row r="212" ht="44" customHeight="1">
      <x:c r="A212" s="31" t="str">
        <x:v>FLOW-211</x:v>
      </x:c>
      <x:c r="B212" s="31" t="str"/>
      <x:c r="C212" s="31" t="str">
        <x:v>GLOBAL</x:v>
      </x:c>
      <x:c r="D212" s="31" t="str">
        <x:v>完成记录展示</x:v>
      </x:c>
      <x:c r="E212" s="31" t="str">
        <x:v>至少完成1个并忽略1个事件</x:v>
      </x:c>
      <x:c r="F212" s="39" t="str">
        <x:v>打开命定事件列表</x:v>
      </x:c>
      <x:c r="G212" s="39" t="str">
        <x:v>查看独立记录区</x:v>
      </x:c>
      <x:c r="H212" s="39" t="str">
        <x:v>完成和忽略事件单独展示，不混入待处理列表</x:v>
      </x:c>
      <x:c r="I212" s="39" t="str">
        <x:v>详情仅展示最终结果</x:v>
      </x:c>
      <x:c r="J212" s="40" t="str"/>
      <x:c r="K212" s="38" t="str">
        <x:v>未开始</x:v>
      </x:c>
      <x:c r="L212" s="38" t="str"/>
      <x:c r="M212" s="41"/>
      <x:c r="N212" s="38" t="str"/>
      <x:c r="O212" s="38" t="str"/>
    </x:row>
  </x:sheetData>
  <x:conditionalFormatting sqref="K2:K212">
    <x:cfRule type="containsText" dxfId="6" priority="1" operator="containsText" text="通过"/>
    <x:cfRule type="containsText" dxfId="7" priority="2" operator="containsText" text="失败"/>
    <x:cfRule type="containsText" dxfId="8" priority="3" operator="containsText" text="阻塞"/>
  </x:conditionalFormatting>
  <x:dataValidations count="1">
    <x:dataValidation type="list" sqref="K2:K212">
      <x:formula1>"未开始,通过,失败,阻塞,不适用"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52a8876c7842f9"/>
  </x:tableParts>
</x:worksheet>
</file>

<file path=xl/worksheets/sheet5.xml><?xml version="1.0" encoding="utf-8"?>
<x:worksheet xmlns:x="http://schemas.openxmlformats.org/spreadsheetml/2006/main">
  <x:sheetPr>
    <x:tabColor rgb="FFDC2626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13" hidden="0" customWidth="1"/>
    <x:col min="5" max="5" width="9" hidden="0" customWidth="1"/>
    <x:col min="6" max="6" width="12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  <x:col min="11" max="11" width="42" hidden="0" customWidth="1"/>
    <x:col min="12" max="12" width="12" hidden="0" customWidth="1"/>
    <x:col min="13" max="13" width="13" hidden="0" customWidth="1"/>
    <x:col min="14" max="14" width="13" hidden="0" customWidth="1"/>
    <x:col min="15" max="15" width="12" hidden="0" customWidth="1"/>
    <x:col min="16" max="16" width="30" hidden="0" customWidth="1"/>
  </x:cols>
  <x:sheetData>
    <x:row r="1" ht="30" customHeight="1">
      <x:c r="A1" s="35" t="str">
        <x:v>缺陷编号</x:v>
      </x:c>
      <x:c r="B1" s="36" t="str">
        <x:v>发现日期</x:v>
      </x:c>
      <x:c r="C1" s="36" t="str">
        <x:v>关联用例ID</x:v>
      </x:c>
      <x:c r="D1" s="36" t="str">
        <x:v>模式</x:v>
      </x:c>
      <x:c r="E1" s="36" t="str">
        <x:v>赛季</x:v>
      </x:c>
      <x:c r="F1" s="36" t="str">
        <x:v>严重程度</x:v>
      </x:c>
      <x:c r="G1" s="36" t="str">
        <x:v>模块</x:v>
      </x:c>
      <x:c r="H1" s="36" t="str">
        <x:v>问题描述</x:v>
      </x:c>
      <x:c r="I1" s="36" t="str">
        <x:v>预期结果</x:v>
      </x:c>
      <x:c r="J1" s="36" t="str">
        <x:v>实际结果</x:v>
      </x:c>
      <x:c r="K1" s="36" t="str">
        <x:v>复现步骤</x:v>
      </x:c>
      <x:c r="L1" s="36" t="str">
        <x:v>状态</x:v>
      </x:c>
      <x:c r="M1" s="36" t="str">
        <x:v>负责人</x:v>
      </x:c>
      <x:c r="N1" s="36" t="str">
        <x:v>修复版本</x:v>
      </x:c>
      <x:c r="O1" s="36" t="str">
        <x:v>复测结果</x:v>
      </x:c>
      <x:c r="P1" s="37" t="str">
        <x:v>备注</x:v>
      </x:c>
    </x:row>
    <x:row r="2" ht="32" customHeight="1">
      <x:c r="A2" s="38"/>
      <x:c r="B2" s="41"/>
      <x:c r="C2" s="38"/>
      <x:c r="D2" s="38"/>
      <x:c r="E2" s="38"/>
      <x:c r="F2" s="38"/>
      <x:c r="G2" s="38"/>
      <x:c r="H2" s="40"/>
      <x:c r="I2" s="40"/>
      <x:c r="J2" s="40"/>
      <x:c r="K2" s="40"/>
      <x:c r="L2" s="38"/>
      <x:c r="M2" s="38"/>
      <x:c r="N2" s="38"/>
      <x:c r="O2" s="38"/>
      <x:c r="P2" s="38"/>
    </x:row>
    <x:row r="3" ht="32" customHeight="1">
      <x:c r="A3" s="38"/>
      <x:c r="B3" s="41"/>
      <x:c r="C3" s="38"/>
      <x:c r="D3" s="38"/>
      <x:c r="E3" s="38"/>
      <x:c r="F3" s="38"/>
      <x:c r="G3" s="38"/>
      <x:c r="H3" s="40"/>
      <x:c r="I3" s="40"/>
      <x:c r="J3" s="40"/>
      <x:c r="K3" s="40"/>
      <x:c r="L3" s="38"/>
      <x:c r="M3" s="38"/>
      <x:c r="N3" s="38"/>
      <x:c r="O3" s="38"/>
      <x:c r="P3" s="38"/>
    </x:row>
    <x:row r="4" ht="32" customHeight="1">
      <x:c r="A4" s="38"/>
      <x:c r="B4" s="41"/>
      <x:c r="C4" s="38"/>
      <x:c r="D4" s="38"/>
      <x:c r="E4" s="38"/>
      <x:c r="F4" s="38"/>
      <x:c r="G4" s="38"/>
      <x:c r="H4" s="40"/>
      <x:c r="I4" s="40"/>
      <x:c r="J4" s="40"/>
      <x:c r="K4" s="40"/>
      <x:c r="L4" s="38"/>
      <x:c r="M4" s="38"/>
      <x:c r="N4" s="38"/>
      <x:c r="O4" s="38"/>
      <x:c r="P4" s="38"/>
    </x:row>
    <x:row r="5" ht="32" customHeight="1">
      <x:c r="A5" s="38"/>
      <x:c r="B5" s="41"/>
      <x:c r="C5" s="38"/>
      <x:c r="D5" s="38"/>
      <x:c r="E5" s="38"/>
      <x:c r="F5" s="38"/>
      <x:c r="G5" s="38"/>
      <x:c r="H5" s="40"/>
      <x:c r="I5" s="40"/>
      <x:c r="J5" s="40"/>
      <x:c r="K5" s="40"/>
      <x:c r="L5" s="38"/>
      <x:c r="M5" s="38"/>
      <x:c r="N5" s="38"/>
      <x:c r="O5" s="38"/>
      <x:c r="P5" s="38"/>
    </x:row>
    <x:row r="6" ht="32" customHeight="1">
      <x:c r="A6" s="38"/>
      <x:c r="B6" s="41"/>
      <x:c r="C6" s="38"/>
      <x:c r="D6" s="38"/>
      <x:c r="E6" s="38"/>
      <x:c r="F6" s="38"/>
      <x:c r="G6" s="38"/>
      <x:c r="H6" s="40"/>
      <x:c r="I6" s="40"/>
      <x:c r="J6" s="40"/>
      <x:c r="K6" s="40"/>
      <x:c r="L6" s="38"/>
      <x:c r="M6" s="38"/>
      <x:c r="N6" s="38"/>
      <x:c r="O6" s="38"/>
      <x:c r="P6" s="38"/>
    </x:row>
    <x:row r="7" ht="32" customHeight="1">
      <x:c r="A7" s="38"/>
      <x:c r="B7" s="41"/>
      <x:c r="C7" s="38"/>
      <x:c r="D7" s="38"/>
      <x:c r="E7" s="38"/>
      <x:c r="F7" s="38"/>
      <x:c r="G7" s="38"/>
      <x:c r="H7" s="40"/>
      <x:c r="I7" s="40"/>
      <x:c r="J7" s="40"/>
      <x:c r="K7" s="40"/>
      <x:c r="L7" s="38"/>
      <x:c r="M7" s="38"/>
      <x:c r="N7" s="38"/>
      <x:c r="O7" s="38"/>
      <x:c r="P7" s="38"/>
    </x:row>
    <x:row r="8" ht="32" customHeight="1">
      <x:c r="A8" s="38"/>
      <x:c r="B8" s="41"/>
      <x:c r="C8" s="38"/>
      <x:c r="D8" s="38"/>
      <x:c r="E8" s="38"/>
      <x:c r="F8" s="38"/>
      <x:c r="G8" s="38"/>
      <x:c r="H8" s="40"/>
      <x:c r="I8" s="40"/>
      <x:c r="J8" s="40"/>
      <x:c r="K8" s="40"/>
      <x:c r="L8" s="38"/>
      <x:c r="M8" s="38"/>
      <x:c r="N8" s="38"/>
      <x:c r="O8" s="38"/>
      <x:c r="P8" s="38"/>
    </x:row>
    <x:row r="9" ht="32" customHeight="1">
      <x:c r="A9" s="38"/>
      <x:c r="B9" s="41"/>
      <x:c r="C9" s="38"/>
      <x:c r="D9" s="38"/>
      <x:c r="E9" s="38"/>
      <x:c r="F9" s="38"/>
      <x:c r="G9" s="38"/>
      <x:c r="H9" s="40"/>
      <x:c r="I9" s="40"/>
      <x:c r="J9" s="40"/>
      <x:c r="K9" s="40"/>
      <x:c r="L9" s="38"/>
      <x:c r="M9" s="38"/>
      <x:c r="N9" s="38"/>
      <x:c r="O9" s="38"/>
      <x:c r="P9" s="38"/>
    </x:row>
    <x:row r="10" ht="32" customHeight="1">
      <x:c r="A10" s="38"/>
      <x:c r="B10" s="41"/>
      <x:c r="C10" s="38"/>
      <x:c r="D10" s="38"/>
      <x:c r="E10" s="38"/>
      <x:c r="F10" s="38"/>
      <x:c r="G10" s="38"/>
      <x:c r="H10" s="40"/>
      <x:c r="I10" s="40"/>
      <x:c r="J10" s="40"/>
      <x:c r="K10" s="40"/>
      <x:c r="L10" s="38"/>
      <x:c r="M10" s="38"/>
      <x:c r="N10" s="38"/>
      <x:c r="O10" s="38"/>
      <x:c r="P10" s="38"/>
    </x:row>
    <x:row r="11" ht="32" customHeight="1">
      <x:c r="A11" s="38"/>
      <x:c r="B11" s="41"/>
      <x:c r="C11" s="38"/>
      <x:c r="D11" s="38"/>
      <x:c r="E11" s="38"/>
      <x:c r="F11" s="38"/>
      <x:c r="G11" s="38"/>
      <x:c r="H11" s="40"/>
      <x:c r="I11" s="40"/>
      <x:c r="J11" s="40"/>
      <x:c r="K11" s="40"/>
      <x:c r="L11" s="38"/>
      <x:c r="M11" s="38"/>
      <x:c r="N11" s="38"/>
      <x:c r="O11" s="38"/>
      <x:c r="P11" s="38"/>
    </x:row>
    <x:row r="12" ht="32" customHeight="1">
      <x:c r="A12" s="38"/>
      <x:c r="B12" s="41"/>
      <x:c r="C12" s="38"/>
      <x:c r="D12" s="38"/>
      <x:c r="E12" s="38"/>
      <x:c r="F12" s="38"/>
      <x:c r="G12" s="38"/>
      <x:c r="H12" s="40"/>
      <x:c r="I12" s="40"/>
      <x:c r="J12" s="40"/>
      <x:c r="K12" s="40"/>
      <x:c r="L12" s="38"/>
      <x:c r="M12" s="38"/>
      <x:c r="N12" s="38"/>
      <x:c r="O12" s="38"/>
      <x:c r="P12" s="38"/>
    </x:row>
    <x:row r="13" ht="32" customHeight="1">
      <x:c r="A13" s="38"/>
      <x:c r="B13" s="41"/>
      <x:c r="C13" s="38"/>
      <x:c r="D13" s="38"/>
      <x:c r="E13" s="38"/>
      <x:c r="F13" s="38"/>
      <x:c r="G13" s="38"/>
      <x:c r="H13" s="40"/>
      <x:c r="I13" s="40"/>
      <x:c r="J13" s="40"/>
      <x:c r="K13" s="40"/>
      <x:c r="L13" s="38"/>
      <x:c r="M13" s="38"/>
      <x:c r="N13" s="38"/>
      <x:c r="O13" s="38"/>
      <x:c r="P13" s="38"/>
    </x:row>
    <x:row r="14" ht="32" customHeight="1">
      <x:c r="A14" s="38"/>
      <x:c r="B14" s="41"/>
      <x:c r="C14" s="38"/>
      <x:c r="D14" s="38"/>
      <x:c r="E14" s="38"/>
      <x:c r="F14" s="38"/>
      <x:c r="G14" s="38"/>
      <x:c r="H14" s="40"/>
      <x:c r="I14" s="40"/>
      <x:c r="J14" s="40"/>
      <x:c r="K14" s="40"/>
      <x:c r="L14" s="38"/>
      <x:c r="M14" s="38"/>
      <x:c r="N14" s="38"/>
      <x:c r="O14" s="38"/>
      <x:c r="P14" s="38"/>
    </x:row>
    <x:row r="15" ht="32" customHeight="1">
      <x:c r="A15" s="38"/>
      <x:c r="B15" s="41"/>
      <x:c r="C15" s="38"/>
      <x:c r="D15" s="38"/>
      <x:c r="E15" s="38"/>
      <x:c r="F15" s="38"/>
      <x:c r="G15" s="38"/>
      <x:c r="H15" s="40"/>
      <x:c r="I15" s="40"/>
      <x:c r="J15" s="40"/>
      <x:c r="K15" s="40"/>
      <x:c r="L15" s="38"/>
      <x:c r="M15" s="38"/>
      <x:c r="N15" s="38"/>
      <x:c r="O15" s="38"/>
      <x:c r="P15" s="38"/>
    </x:row>
    <x:row r="16" ht="32" customHeight="1">
      <x:c r="A16" s="38"/>
      <x:c r="B16" s="41"/>
      <x:c r="C16" s="38"/>
      <x:c r="D16" s="38"/>
      <x:c r="E16" s="38"/>
      <x:c r="F16" s="38"/>
      <x:c r="G16" s="38"/>
      <x:c r="H16" s="40"/>
      <x:c r="I16" s="40"/>
      <x:c r="J16" s="40"/>
      <x:c r="K16" s="40"/>
      <x:c r="L16" s="38"/>
      <x:c r="M16" s="38"/>
      <x:c r="N16" s="38"/>
      <x:c r="O16" s="38"/>
      <x:c r="P16" s="38"/>
    </x:row>
    <x:row r="17" ht="32" customHeight="1">
      <x:c r="A17" s="38"/>
      <x:c r="B17" s="41"/>
      <x:c r="C17" s="38"/>
      <x:c r="D17" s="38"/>
      <x:c r="E17" s="38"/>
      <x:c r="F17" s="38"/>
      <x:c r="G17" s="38"/>
      <x:c r="H17" s="40"/>
      <x:c r="I17" s="40"/>
      <x:c r="J17" s="40"/>
      <x:c r="K17" s="40"/>
      <x:c r="L17" s="38"/>
      <x:c r="M17" s="38"/>
      <x:c r="N17" s="38"/>
      <x:c r="O17" s="38"/>
      <x:c r="P17" s="38"/>
    </x:row>
    <x:row r="18" ht="32" customHeight="1">
      <x:c r="A18" s="38"/>
      <x:c r="B18" s="41"/>
      <x:c r="C18" s="38"/>
      <x:c r="D18" s="38"/>
      <x:c r="E18" s="38"/>
      <x:c r="F18" s="38"/>
      <x:c r="G18" s="38"/>
      <x:c r="H18" s="40"/>
      <x:c r="I18" s="40"/>
      <x:c r="J18" s="40"/>
      <x:c r="K18" s="40"/>
      <x:c r="L18" s="38"/>
      <x:c r="M18" s="38"/>
      <x:c r="N18" s="38"/>
      <x:c r="O18" s="38"/>
      <x:c r="P18" s="38"/>
    </x:row>
    <x:row r="19" ht="32" customHeight="1">
      <x:c r="A19" s="38"/>
      <x:c r="B19" s="41"/>
      <x:c r="C19" s="38"/>
      <x:c r="D19" s="38"/>
      <x:c r="E19" s="38"/>
      <x:c r="F19" s="38"/>
      <x:c r="G19" s="38"/>
      <x:c r="H19" s="40"/>
      <x:c r="I19" s="40"/>
      <x:c r="J19" s="40"/>
      <x:c r="K19" s="40"/>
      <x:c r="L19" s="38"/>
      <x:c r="M19" s="38"/>
      <x:c r="N19" s="38"/>
      <x:c r="O19" s="38"/>
      <x:c r="P19" s="38"/>
    </x:row>
    <x:row r="20" ht="32" customHeight="1">
      <x:c r="A20" s="38"/>
      <x:c r="B20" s="41"/>
      <x:c r="C20" s="38"/>
      <x:c r="D20" s="38"/>
      <x:c r="E20" s="38"/>
      <x:c r="F20" s="38"/>
      <x:c r="G20" s="38"/>
      <x:c r="H20" s="40"/>
      <x:c r="I20" s="40"/>
      <x:c r="J20" s="40"/>
      <x:c r="K20" s="40"/>
      <x:c r="L20" s="38"/>
      <x:c r="M20" s="38"/>
      <x:c r="N20" s="38"/>
      <x:c r="O20" s="38"/>
      <x:c r="P20" s="38"/>
    </x:row>
    <x:row r="21" ht="32" customHeight="1">
      <x:c r="A21" s="38"/>
      <x:c r="B21" s="41"/>
      <x:c r="C21" s="38"/>
      <x:c r="D21" s="38"/>
      <x:c r="E21" s="38"/>
      <x:c r="F21" s="38"/>
      <x:c r="G21" s="38"/>
      <x:c r="H21" s="40"/>
      <x:c r="I21" s="40"/>
      <x:c r="J21" s="40"/>
      <x:c r="K21" s="40"/>
      <x:c r="L21" s="38"/>
      <x:c r="M21" s="38"/>
      <x:c r="N21" s="38"/>
      <x:c r="O21" s="38"/>
      <x:c r="P21" s="38"/>
    </x:row>
    <x:row r="22" ht="32" customHeight="1">
      <x:c r="A22" s="38"/>
      <x:c r="B22" s="41"/>
      <x:c r="C22" s="38"/>
      <x:c r="D22" s="38"/>
      <x:c r="E22" s="38"/>
      <x:c r="F22" s="38"/>
      <x:c r="G22" s="38"/>
      <x:c r="H22" s="40"/>
      <x:c r="I22" s="40"/>
      <x:c r="J22" s="40"/>
      <x:c r="K22" s="40"/>
      <x:c r="L22" s="38"/>
      <x:c r="M22" s="38"/>
      <x:c r="N22" s="38"/>
      <x:c r="O22" s="38"/>
      <x:c r="P22" s="38"/>
    </x:row>
    <x:row r="23" ht="32" customHeight="1">
      <x:c r="A23" s="38"/>
      <x:c r="B23" s="41"/>
      <x:c r="C23" s="38"/>
      <x:c r="D23" s="38"/>
      <x:c r="E23" s="38"/>
      <x:c r="F23" s="38"/>
      <x:c r="G23" s="38"/>
      <x:c r="H23" s="40"/>
      <x:c r="I23" s="40"/>
      <x:c r="J23" s="40"/>
      <x:c r="K23" s="40"/>
      <x:c r="L23" s="38"/>
      <x:c r="M23" s="38"/>
      <x:c r="N23" s="38"/>
      <x:c r="O23" s="38"/>
      <x:c r="P23" s="38"/>
    </x:row>
    <x:row r="24" ht="32" customHeight="1">
      <x:c r="A24" s="38"/>
      <x:c r="B24" s="41"/>
      <x:c r="C24" s="38"/>
      <x:c r="D24" s="38"/>
      <x:c r="E24" s="38"/>
      <x:c r="F24" s="38"/>
      <x:c r="G24" s="38"/>
      <x:c r="H24" s="40"/>
      <x:c r="I24" s="40"/>
      <x:c r="J24" s="40"/>
      <x:c r="K24" s="40"/>
      <x:c r="L24" s="38"/>
      <x:c r="M24" s="38"/>
      <x:c r="N24" s="38"/>
      <x:c r="O24" s="38"/>
      <x:c r="P24" s="38"/>
    </x:row>
    <x:row r="25" ht="32" customHeight="1">
      <x:c r="A25" s="38"/>
      <x:c r="B25" s="41"/>
      <x:c r="C25" s="38"/>
      <x:c r="D25" s="38"/>
      <x:c r="E25" s="38"/>
      <x:c r="F25" s="38"/>
      <x:c r="G25" s="38"/>
      <x:c r="H25" s="40"/>
      <x:c r="I25" s="40"/>
      <x:c r="J25" s="40"/>
      <x:c r="K25" s="40"/>
      <x:c r="L25" s="38"/>
      <x:c r="M25" s="38"/>
      <x:c r="N25" s="38"/>
      <x:c r="O25" s="38"/>
      <x:c r="P25" s="38"/>
    </x:row>
    <x:row r="26" ht="32" customHeight="1">
      <x:c r="A26" s="38"/>
      <x:c r="B26" s="41"/>
      <x:c r="C26" s="38"/>
      <x:c r="D26" s="38"/>
      <x:c r="E26" s="38"/>
      <x:c r="F26" s="38"/>
      <x:c r="G26" s="38"/>
      <x:c r="H26" s="40"/>
      <x:c r="I26" s="40"/>
      <x:c r="J26" s="40"/>
      <x:c r="K26" s="40"/>
      <x:c r="L26" s="38"/>
      <x:c r="M26" s="38"/>
      <x:c r="N26" s="38"/>
      <x:c r="O26" s="38"/>
      <x:c r="P26" s="38"/>
    </x:row>
    <x:row r="27" ht="32" customHeight="1">
      <x:c r="A27" s="38"/>
      <x:c r="B27" s="41"/>
      <x:c r="C27" s="38"/>
      <x:c r="D27" s="38"/>
      <x:c r="E27" s="38"/>
      <x:c r="F27" s="38"/>
      <x:c r="G27" s="38"/>
      <x:c r="H27" s="40"/>
      <x:c r="I27" s="40"/>
      <x:c r="J27" s="40"/>
      <x:c r="K27" s="40"/>
      <x:c r="L27" s="38"/>
      <x:c r="M27" s="38"/>
      <x:c r="N27" s="38"/>
      <x:c r="O27" s="38"/>
      <x:c r="P27" s="38"/>
    </x:row>
    <x:row r="28" ht="32" customHeight="1">
      <x:c r="A28" s="38"/>
      <x:c r="B28" s="41"/>
      <x:c r="C28" s="38"/>
      <x:c r="D28" s="38"/>
      <x:c r="E28" s="38"/>
      <x:c r="F28" s="38"/>
      <x:c r="G28" s="38"/>
      <x:c r="H28" s="40"/>
      <x:c r="I28" s="40"/>
      <x:c r="J28" s="40"/>
      <x:c r="K28" s="40"/>
      <x:c r="L28" s="38"/>
      <x:c r="M28" s="38"/>
      <x:c r="N28" s="38"/>
      <x:c r="O28" s="38"/>
      <x:c r="P28" s="38"/>
    </x:row>
    <x:row r="29" ht="32" customHeight="1">
      <x:c r="A29" s="38"/>
      <x:c r="B29" s="41"/>
      <x:c r="C29" s="38"/>
      <x:c r="D29" s="38"/>
      <x:c r="E29" s="38"/>
      <x:c r="F29" s="38"/>
      <x:c r="G29" s="38"/>
      <x:c r="H29" s="40"/>
      <x:c r="I29" s="40"/>
      <x:c r="J29" s="40"/>
      <x:c r="K29" s="40"/>
      <x:c r="L29" s="38"/>
      <x:c r="M29" s="38"/>
      <x:c r="N29" s="38"/>
      <x:c r="O29" s="38"/>
      <x:c r="P29" s="38"/>
    </x:row>
    <x:row r="30" ht="32" customHeight="1">
      <x:c r="A30" s="38"/>
      <x:c r="B30" s="41"/>
      <x:c r="C30" s="38"/>
      <x:c r="D30" s="38"/>
      <x:c r="E30" s="38"/>
      <x:c r="F30" s="38"/>
      <x:c r="G30" s="38"/>
      <x:c r="H30" s="40"/>
      <x:c r="I30" s="40"/>
      <x:c r="J30" s="40"/>
      <x:c r="K30" s="40"/>
      <x:c r="L30" s="38"/>
      <x:c r="M30" s="38"/>
      <x:c r="N30" s="38"/>
      <x:c r="O30" s="38"/>
      <x:c r="P30" s="38"/>
    </x:row>
    <x:row r="31" ht="32" customHeight="1">
      <x:c r="A31" s="38"/>
      <x:c r="B31" s="41"/>
      <x:c r="C31" s="38"/>
      <x:c r="D31" s="38"/>
      <x:c r="E31" s="38"/>
      <x:c r="F31" s="38"/>
      <x:c r="G31" s="38"/>
      <x:c r="H31" s="40"/>
      <x:c r="I31" s="40"/>
      <x:c r="J31" s="40"/>
      <x:c r="K31" s="40"/>
      <x:c r="L31" s="38"/>
      <x:c r="M31" s="38"/>
      <x:c r="N31" s="38"/>
      <x:c r="O31" s="38"/>
      <x:c r="P31" s="38"/>
    </x:row>
    <x:row r="32" ht="32" customHeight="1">
      <x:c r="A32" s="38"/>
      <x:c r="B32" s="41"/>
      <x:c r="C32" s="38"/>
      <x:c r="D32" s="38"/>
      <x:c r="E32" s="38"/>
      <x:c r="F32" s="38"/>
      <x:c r="G32" s="38"/>
      <x:c r="H32" s="40"/>
      <x:c r="I32" s="40"/>
      <x:c r="J32" s="40"/>
      <x:c r="K32" s="40"/>
      <x:c r="L32" s="38"/>
      <x:c r="M32" s="38"/>
      <x:c r="N32" s="38"/>
      <x:c r="O32" s="38"/>
      <x:c r="P32" s="38"/>
    </x:row>
    <x:row r="33" ht="32" customHeight="1">
      <x:c r="A33" s="38"/>
      <x:c r="B33" s="41"/>
      <x:c r="C33" s="38"/>
      <x:c r="D33" s="38"/>
      <x:c r="E33" s="38"/>
      <x:c r="F33" s="38"/>
      <x:c r="G33" s="38"/>
      <x:c r="H33" s="40"/>
      <x:c r="I33" s="40"/>
      <x:c r="J33" s="40"/>
      <x:c r="K33" s="40"/>
      <x:c r="L33" s="38"/>
      <x:c r="M33" s="38"/>
      <x:c r="N33" s="38"/>
      <x:c r="O33" s="38"/>
      <x:c r="P33" s="38"/>
    </x:row>
    <x:row r="34" ht="32" customHeight="1">
      <x:c r="A34" s="38"/>
      <x:c r="B34" s="41"/>
      <x:c r="C34" s="38"/>
      <x:c r="D34" s="38"/>
      <x:c r="E34" s="38"/>
      <x:c r="F34" s="38"/>
      <x:c r="G34" s="38"/>
      <x:c r="H34" s="40"/>
      <x:c r="I34" s="40"/>
      <x:c r="J34" s="40"/>
      <x:c r="K34" s="40"/>
      <x:c r="L34" s="38"/>
      <x:c r="M34" s="38"/>
      <x:c r="N34" s="38"/>
      <x:c r="O34" s="38"/>
      <x:c r="P34" s="38"/>
    </x:row>
    <x:row r="35" ht="32" customHeight="1">
      <x:c r="A35" s="38"/>
      <x:c r="B35" s="41"/>
      <x:c r="C35" s="38"/>
      <x:c r="D35" s="38"/>
      <x:c r="E35" s="38"/>
      <x:c r="F35" s="38"/>
      <x:c r="G35" s="38"/>
      <x:c r="H35" s="40"/>
      <x:c r="I35" s="40"/>
      <x:c r="J35" s="40"/>
      <x:c r="K35" s="40"/>
      <x:c r="L35" s="38"/>
      <x:c r="M35" s="38"/>
      <x:c r="N35" s="38"/>
      <x:c r="O35" s="38"/>
      <x:c r="P35" s="38"/>
    </x:row>
    <x:row r="36" ht="32" customHeight="1">
      <x:c r="A36" s="38"/>
      <x:c r="B36" s="41"/>
      <x:c r="C36" s="38"/>
      <x:c r="D36" s="38"/>
      <x:c r="E36" s="38"/>
      <x:c r="F36" s="38"/>
      <x:c r="G36" s="38"/>
      <x:c r="H36" s="40"/>
      <x:c r="I36" s="40"/>
      <x:c r="J36" s="40"/>
      <x:c r="K36" s="40"/>
      <x:c r="L36" s="38"/>
      <x:c r="M36" s="38"/>
      <x:c r="N36" s="38"/>
      <x:c r="O36" s="38"/>
      <x:c r="P36" s="38"/>
    </x:row>
    <x:row r="37" ht="32" customHeight="1">
      <x:c r="A37" s="38"/>
      <x:c r="B37" s="41"/>
      <x:c r="C37" s="38"/>
      <x:c r="D37" s="38"/>
      <x:c r="E37" s="38"/>
      <x:c r="F37" s="38"/>
      <x:c r="G37" s="38"/>
      <x:c r="H37" s="40"/>
      <x:c r="I37" s="40"/>
      <x:c r="J37" s="40"/>
      <x:c r="K37" s="40"/>
      <x:c r="L37" s="38"/>
      <x:c r="M37" s="38"/>
      <x:c r="N37" s="38"/>
      <x:c r="O37" s="38"/>
      <x:c r="P37" s="38"/>
    </x:row>
    <x:row r="38" ht="32" customHeight="1">
      <x:c r="A38" s="38"/>
      <x:c r="B38" s="41"/>
      <x:c r="C38" s="38"/>
      <x:c r="D38" s="38"/>
      <x:c r="E38" s="38"/>
      <x:c r="F38" s="38"/>
      <x:c r="G38" s="38"/>
      <x:c r="H38" s="40"/>
      <x:c r="I38" s="40"/>
      <x:c r="J38" s="40"/>
      <x:c r="K38" s="40"/>
      <x:c r="L38" s="38"/>
      <x:c r="M38" s="38"/>
      <x:c r="N38" s="38"/>
      <x:c r="O38" s="38"/>
      <x:c r="P38" s="38"/>
    </x:row>
    <x:row r="39" ht="32" customHeight="1">
      <x:c r="A39" s="38"/>
      <x:c r="B39" s="41"/>
      <x:c r="C39" s="38"/>
      <x:c r="D39" s="38"/>
      <x:c r="E39" s="38"/>
      <x:c r="F39" s="38"/>
      <x:c r="G39" s="38"/>
      <x:c r="H39" s="40"/>
      <x:c r="I39" s="40"/>
      <x:c r="J39" s="40"/>
      <x:c r="K39" s="40"/>
      <x:c r="L39" s="38"/>
      <x:c r="M39" s="38"/>
      <x:c r="N39" s="38"/>
      <x:c r="O39" s="38"/>
      <x:c r="P39" s="38"/>
    </x:row>
    <x:row r="40" ht="32" customHeight="1">
      <x:c r="A40" s="38"/>
      <x:c r="B40" s="41"/>
      <x:c r="C40" s="38"/>
      <x:c r="D40" s="38"/>
      <x:c r="E40" s="38"/>
      <x:c r="F40" s="38"/>
      <x:c r="G40" s="38"/>
      <x:c r="H40" s="40"/>
      <x:c r="I40" s="40"/>
      <x:c r="J40" s="40"/>
      <x:c r="K40" s="40"/>
      <x:c r="L40" s="38"/>
      <x:c r="M40" s="38"/>
      <x:c r="N40" s="38"/>
      <x:c r="O40" s="38"/>
      <x:c r="P40" s="38"/>
    </x:row>
    <x:row r="41" ht="32" customHeight="1">
      <x:c r="A41" s="38"/>
      <x:c r="B41" s="41"/>
      <x:c r="C41" s="38"/>
      <x:c r="D41" s="38"/>
      <x:c r="E41" s="38"/>
      <x:c r="F41" s="38"/>
      <x:c r="G41" s="38"/>
      <x:c r="H41" s="40"/>
      <x:c r="I41" s="40"/>
      <x:c r="J41" s="40"/>
      <x:c r="K41" s="40"/>
      <x:c r="L41" s="38"/>
      <x:c r="M41" s="38"/>
      <x:c r="N41" s="38"/>
      <x:c r="O41" s="38"/>
      <x:c r="P41" s="38"/>
    </x:row>
    <x:row r="42" ht="32" customHeight="1">
      <x:c r="A42" s="38"/>
      <x:c r="B42" s="41"/>
      <x:c r="C42" s="38"/>
      <x:c r="D42" s="38"/>
      <x:c r="E42" s="38"/>
      <x:c r="F42" s="38"/>
      <x:c r="G42" s="38"/>
      <x:c r="H42" s="40"/>
      <x:c r="I42" s="40"/>
      <x:c r="J42" s="40"/>
      <x:c r="K42" s="40"/>
      <x:c r="L42" s="38"/>
      <x:c r="M42" s="38"/>
      <x:c r="N42" s="38"/>
      <x:c r="O42" s="38"/>
      <x:c r="P42" s="38"/>
    </x:row>
    <x:row r="43" ht="32" customHeight="1">
      <x:c r="A43" s="38"/>
      <x:c r="B43" s="41"/>
      <x:c r="C43" s="38"/>
      <x:c r="D43" s="38"/>
      <x:c r="E43" s="38"/>
      <x:c r="F43" s="38"/>
      <x:c r="G43" s="38"/>
      <x:c r="H43" s="40"/>
      <x:c r="I43" s="40"/>
      <x:c r="J43" s="40"/>
      <x:c r="K43" s="40"/>
      <x:c r="L43" s="38"/>
      <x:c r="M43" s="38"/>
      <x:c r="N43" s="38"/>
      <x:c r="O43" s="38"/>
      <x:c r="P43" s="38"/>
    </x:row>
    <x:row r="44" ht="32" customHeight="1">
      <x:c r="A44" s="38"/>
      <x:c r="B44" s="41"/>
      <x:c r="C44" s="38"/>
      <x:c r="D44" s="38"/>
      <x:c r="E44" s="38"/>
      <x:c r="F44" s="38"/>
      <x:c r="G44" s="38"/>
      <x:c r="H44" s="40"/>
      <x:c r="I44" s="40"/>
      <x:c r="J44" s="40"/>
      <x:c r="K44" s="40"/>
      <x:c r="L44" s="38"/>
      <x:c r="M44" s="38"/>
      <x:c r="N44" s="38"/>
      <x:c r="O44" s="38"/>
      <x:c r="P44" s="38"/>
    </x:row>
    <x:row r="45" ht="32" customHeight="1">
      <x:c r="A45" s="38"/>
      <x:c r="B45" s="41"/>
      <x:c r="C45" s="38"/>
      <x:c r="D45" s="38"/>
      <x:c r="E45" s="38"/>
      <x:c r="F45" s="38"/>
      <x:c r="G45" s="38"/>
      <x:c r="H45" s="40"/>
      <x:c r="I45" s="40"/>
      <x:c r="J45" s="40"/>
      <x:c r="K45" s="40"/>
      <x:c r="L45" s="38"/>
      <x:c r="M45" s="38"/>
      <x:c r="N45" s="38"/>
      <x:c r="O45" s="38"/>
      <x:c r="P45" s="38"/>
    </x:row>
    <x:row r="46" ht="32" customHeight="1">
      <x:c r="A46" s="38"/>
      <x:c r="B46" s="41"/>
      <x:c r="C46" s="38"/>
      <x:c r="D46" s="38"/>
      <x:c r="E46" s="38"/>
      <x:c r="F46" s="38"/>
      <x:c r="G46" s="38"/>
      <x:c r="H46" s="40"/>
      <x:c r="I46" s="40"/>
      <x:c r="J46" s="40"/>
      <x:c r="K46" s="40"/>
      <x:c r="L46" s="38"/>
      <x:c r="M46" s="38"/>
      <x:c r="N46" s="38"/>
      <x:c r="O46" s="38"/>
      <x:c r="P46" s="38"/>
    </x:row>
    <x:row r="47" ht="32" customHeight="1">
      <x:c r="A47" s="38"/>
      <x:c r="B47" s="41"/>
      <x:c r="C47" s="38"/>
      <x:c r="D47" s="38"/>
      <x:c r="E47" s="38"/>
      <x:c r="F47" s="38"/>
      <x:c r="G47" s="38"/>
      <x:c r="H47" s="40"/>
      <x:c r="I47" s="40"/>
      <x:c r="J47" s="40"/>
      <x:c r="K47" s="40"/>
      <x:c r="L47" s="38"/>
      <x:c r="M47" s="38"/>
      <x:c r="N47" s="38"/>
      <x:c r="O47" s="38"/>
      <x:c r="P47" s="38"/>
    </x:row>
    <x:row r="48" ht="32" customHeight="1">
      <x:c r="A48" s="38"/>
      <x:c r="B48" s="41"/>
      <x:c r="C48" s="38"/>
      <x:c r="D48" s="38"/>
      <x:c r="E48" s="38"/>
      <x:c r="F48" s="38"/>
      <x:c r="G48" s="38"/>
      <x:c r="H48" s="40"/>
      <x:c r="I48" s="40"/>
      <x:c r="J48" s="40"/>
      <x:c r="K48" s="40"/>
      <x:c r="L48" s="38"/>
      <x:c r="M48" s="38"/>
      <x:c r="N48" s="38"/>
      <x:c r="O48" s="38"/>
      <x:c r="P48" s="38"/>
    </x:row>
    <x:row r="49" ht="32" customHeight="1">
      <x:c r="A49" s="38"/>
      <x:c r="B49" s="41"/>
      <x:c r="C49" s="38"/>
      <x:c r="D49" s="38"/>
      <x:c r="E49" s="38"/>
      <x:c r="F49" s="38"/>
      <x:c r="G49" s="38"/>
      <x:c r="H49" s="40"/>
      <x:c r="I49" s="40"/>
      <x:c r="J49" s="40"/>
      <x:c r="K49" s="40"/>
      <x:c r="L49" s="38"/>
      <x:c r="M49" s="38"/>
      <x:c r="N49" s="38"/>
      <x:c r="O49" s="38"/>
      <x:c r="P49" s="38"/>
    </x:row>
    <x:row r="50" ht="32" customHeight="1">
      <x:c r="A50" s="38"/>
      <x:c r="B50" s="41"/>
      <x:c r="C50" s="38"/>
      <x:c r="D50" s="38"/>
      <x:c r="E50" s="38"/>
      <x:c r="F50" s="38"/>
      <x:c r="G50" s="38"/>
      <x:c r="H50" s="40"/>
      <x:c r="I50" s="40"/>
      <x:c r="J50" s="40"/>
      <x:c r="K50" s="40"/>
      <x:c r="L50" s="38"/>
      <x:c r="M50" s="38"/>
      <x:c r="N50" s="38"/>
      <x:c r="O50" s="38"/>
      <x:c r="P50" s="38"/>
    </x:row>
    <x:row r="51" ht="32" customHeight="1">
      <x:c r="A51" s="38"/>
      <x:c r="B51" s="41"/>
      <x:c r="C51" s="38"/>
      <x:c r="D51" s="38"/>
      <x:c r="E51" s="38"/>
      <x:c r="F51" s="38"/>
      <x:c r="G51" s="38"/>
      <x:c r="H51" s="40"/>
      <x:c r="I51" s="40"/>
      <x:c r="J51" s="40"/>
      <x:c r="K51" s="40"/>
      <x:c r="L51" s="38"/>
      <x:c r="M51" s="38"/>
      <x:c r="N51" s="38"/>
      <x:c r="O51" s="38"/>
      <x:c r="P51" s="38"/>
    </x:row>
    <x:row r="52" ht="32" customHeight="1">
      <x:c r="A52" s="38"/>
      <x:c r="B52" s="41"/>
      <x:c r="C52" s="38"/>
      <x:c r="D52" s="38"/>
      <x:c r="E52" s="38"/>
      <x:c r="F52" s="38"/>
      <x:c r="G52" s="38"/>
      <x:c r="H52" s="40"/>
      <x:c r="I52" s="40"/>
      <x:c r="J52" s="40"/>
      <x:c r="K52" s="40"/>
      <x:c r="L52" s="38"/>
      <x:c r="M52" s="38"/>
      <x:c r="N52" s="38"/>
      <x:c r="O52" s="38"/>
      <x:c r="P52" s="38"/>
    </x:row>
    <x:row r="53" ht="32" customHeight="1">
      <x:c r="A53" s="38"/>
      <x:c r="B53" s="41"/>
      <x:c r="C53" s="38"/>
      <x:c r="D53" s="38"/>
      <x:c r="E53" s="38"/>
      <x:c r="F53" s="38"/>
      <x:c r="G53" s="38"/>
      <x:c r="H53" s="40"/>
      <x:c r="I53" s="40"/>
      <x:c r="J53" s="40"/>
      <x:c r="K53" s="40"/>
      <x:c r="L53" s="38"/>
      <x:c r="M53" s="38"/>
      <x:c r="N53" s="38"/>
      <x:c r="O53" s="38"/>
      <x:c r="P53" s="38"/>
    </x:row>
    <x:row r="54" ht="32" customHeight="1">
      <x:c r="A54" s="38"/>
      <x:c r="B54" s="41"/>
      <x:c r="C54" s="38"/>
      <x:c r="D54" s="38"/>
      <x:c r="E54" s="38"/>
      <x:c r="F54" s="38"/>
      <x:c r="G54" s="38"/>
      <x:c r="H54" s="40"/>
      <x:c r="I54" s="40"/>
      <x:c r="J54" s="40"/>
      <x:c r="K54" s="40"/>
      <x:c r="L54" s="38"/>
      <x:c r="M54" s="38"/>
      <x:c r="N54" s="38"/>
      <x:c r="O54" s="38"/>
      <x:c r="P54" s="38"/>
    </x:row>
    <x:row r="55" ht="32" customHeight="1">
      <x:c r="A55" s="38"/>
      <x:c r="B55" s="41"/>
      <x:c r="C55" s="38"/>
      <x:c r="D55" s="38"/>
      <x:c r="E55" s="38"/>
      <x:c r="F55" s="38"/>
      <x:c r="G55" s="38"/>
      <x:c r="H55" s="40"/>
      <x:c r="I55" s="40"/>
      <x:c r="J55" s="40"/>
      <x:c r="K55" s="40"/>
      <x:c r="L55" s="38"/>
      <x:c r="M55" s="38"/>
      <x:c r="N55" s="38"/>
      <x:c r="O55" s="38"/>
      <x:c r="P55" s="38"/>
    </x:row>
    <x:row r="56" ht="32" customHeight="1">
      <x:c r="A56" s="38"/>
      <x:c r="B56" s="41"/>
      <x:c r="C56" s="38"/>
      <x:c r="D56" s="38"/>
      <x:c r="E56" s="38"/>
      <x:c r="F56" s="38"/>
      <x:c r="G56" s="38"/>
      <x:c r="H56" s="40"/>
      <x:c r="I56" s="40"/>
      <x:c r="J56" s="40"/>
      <x:c r="K56" s="40"/>
      <x:c r="L56" s="38"/>
      <x:c r="M56" s="38"/>
      <x:c r="N56" s="38"/>
      <x:c r="O56" s="38"/>
      <x:c r="P56" s="38"/>
    </x:row>
    <x:row r="57" ht="32" customHeight="1">
      <x:c r="A57" s="38"/>
      <x:c r="B57" s="41"/>
      <x:c r="C57" s="38"/>
      <x:c r="D57" s="38"/>
      <x:c r="E57" s="38"/>
      <x:c r="F57" s="38"/>
      <x:c r="G57" s="38"/>
      <x:c r="H57" s="40"/>
      <x:c r="I57" s="40"/>
      <x:c r="J57" s="40"/>
      <x:c r="K57" s="40"/>
      <x:c r="L57" s="38"/>
      <x:c r="M57" s="38"/>
      <x:c r="N57" s="38"/>
      <x:c r="O57" s="38"/>
      <x:c r="P57" s="38"/>
    </x:row>
    <x:row r="58" ht="32" customHeight="1">
      <x:c r="A58" s="38"/>
      <x:c r="B58" s="41"/>
      <x:c r="C58" s="38"/>
      <x:c r="D58" s="38"/>
      <x:c r="E58" s="38"/>
      <x:c r="F58" s="38"/>
      <x:c r="G58" s="38"/>
      <x:c r="H58" s="40"/>
      <x:c r="I58" s="40"/>
      <x:c r="J58" s="40"/>
      <x:c r="K58" s="40"/>
      <x:c r="L58" s="38"/>
      <x:c r="M58" s="38"/>
      <x:c r="N58" s="38"/>
      <x:c r="O58" s="38"/>
      <x:c r="P58" s="38"/>
    </x:row>
    <x:row r="59" ht="32" customHeight="1">
      <x:c r="A59" s="38"/>
      <x:c r="B59" s="41"/>
      <x:c r="C59" s="38"/>
      <x:c r="D59" s="38"/>
      <x:c r="E59" s="38"/>
      <x:c r="F59" s="38"/>
      <x:c r="G59" s="38"/>
      <x:c r="H59" s="40"/>
      <x:c r="I59" s="40"/>
      <x:c r="J59" s="40"/>
      <x:c r="K59" s="40"/>
      <x:c r="L59" s="38"/>
      <x:c r="M59" s="38"/>
      <x:c r="N59" s="38"/>
      <x:c r="O59" s="38"/>
      <x:c r="P59" s="38"/>
    </x:row>
    <x:row r="60" ht="32" customHeight="1">
      <x:c r="A60" s="38"/>
      <x:c r="B60" s="41"/>
      <x:c r="C60" s="38"/>
      <x:c r="D60" s="38"/>
      <x:c r="E60" s="38"/>
      <x:c r="F60" s="38"/>
      <x:c r="G60" s="38"/>
      <x:c r="H60" s="40"/>
      <x:c r="I60" s="40"/>
      <x:c r="J60" s="40"/>
      <x:c r="K60" s="40"/>
      <x:c r="L60" s="38"/>
      <x:c r="M60" s="38"/>
      <x:c r="N60" s="38"/>
      <x:c r="O60" s="38"/>
      <x:c r="P60" s="38"/>
    </x:row>
    <x:row r="61" ht="32" customHeight="1">
      <x:c r="A61" s="38"/>
      <x:c r="B61" s="41"/>
      <x:c r="C61" s="38"/>
      <x:c r="D61" s="38"/>
      <x:c r="E61" s="38"/>
      <x:c r="F61" s="38"/>
      <x:c r="G61" s="38"/>
      <x:c r="H61" s="40"/>
      <x:c r="I61" s="40"/>
      <x:c r="J61" s="40"/>
      <x:c r="K61" s="40"/>
      <x:c r="L61" s="38"/>
      <x:c r="M61" s="38"/>
      <x:c r="N61" s="38"/>
      <x:c r="O61" s="38"/>
      <x:c r="P61" s="38"/>
    </x:row>
    <x:row r="62" ht="32" customHeight="1">
      <x:c r="A62" s="38"/>
      <x:c r="B62" s="41"/>
      <x:c r="C62" s="38"/>
      <x:c r="D62" s="38"/>
      <x:c r="E62" s="38"/>
      <x:c r="F62" s="38"/>
      <x:c r="G62" s="38"/>
      <x:c r="H62" s="40"/>
      <x:c r="I62" s="40"/>
      <x:c r="J62" s="40"/>
      <x:c r="K62" s="40"/>
      <x:c r="L62" s="38"/>
      <x:c r="M62" s="38"/>
      <x:c r="N62" s="38"/>
      <x:c r="O62" s="38"/>
      <x:c r="P62" s="38"/>
    </x:row>
    <x:row r="63" ht="32" customHeight="1">
      <x:c r="A63" s="38"/>
      <x:c r="B63" s="41"/>
      <x:c r="C63" s="38"/>
      <x:c r="D63" s="38"/>
      <x:c r="E63" s="38"/>
      <x:c r="F63" s="38"/>
      <x:c r="G63" s="38"/>
      <x:c r="H63" s="40"/>
      <x:c r="I63" s="40"/>
      <x:c r="J63" s="40"/>
      <x:c r="K63" s="40"/>
      <x:c r="L63" s="38"/>
      <x:c r="M63" s="38"/>
      <x:c r="N63" s="38"/>
      <x:c r="O63" s="38"/>
      <x:c r="P63" s="38"/>
    </x:row>
    <x:row r="64" ht="32" customHeight="1">
      <x:c r="A64" s="38"/>
      <x:c r="B64" s="41"/>
      <x:c r="C64" s="38"/>
      <x:c r="D64" s="38"/>
      <x:c r="E64" s="38"/>
      <x:c r="F64" s="38"/>
      <x:c r="G64" s="38"/>
      <x:c r="H64" s="40"/>
      <x:c r="I64" s="40"/>
      <x:c r="J64" s="40"/>
      <x:c r="K64" s="40"/>
      <x:c r="L64" s="38"/>
      <x:c r="M64" s="38"/>
      <x:c r="N64" s="38"/>
      <x:c r="O64" s="38"/>
      <x:c r="P64" s="38"/>
    </x:row>
    <x:row r="65" ht="32" customHeight="1">
      <x:c r="A65" s="38"/>
      <x:c r="B65" s="41"/>
      <x:c r="C65" s="38"/>
      <x:c r="D65" s="38"/>
      <x:c r="E65" s="38"/>
      <x:c r="F65" s="38"/>
      <x:c r="G65" s="38"/>
      <x:c r="H65" s="40"/>
      <x:c r="I65" s="40"/>
      <x:c r="J65" s="40"/>
      <x:c r="K65" s="40"/>
      <x:c r="L65" s="38"/>
      <x:c r="M65" s="38"/>
      <x:c r="N65" s="38"/>
      <x:c r="O65" s="38"/>
      <x:c r="P65" s="38"/>
    </x:row>
    <x:row r="66" ht="32" customHeight="1">
      <x:c r="A66" s="38"/>
      <x:c r="B66" s="41"/>
      <x:c r="C66" s="38"/>
      <x:c r="D66" s="38"/>
      <x:c r="E66" s="38"/>
      <x:c r="F66" s="38"/>
      <x:c r="G66" s="38"/>
      <x:c r="H66" s="40"/>
      <x:c r="I66" s="40"/>
      <x:c r="J66" s="40"/>
      <x:c r="K66" s="40"/>
      <x:c r="L66" s="38"/>
      <x:c r="M66" s="38"/>
      <x:c r="N66" s="38"/>
      <x:c r="O66" s="38"/>
      <x:c r="P66" s="38"/>
    </x:row>
    <x:row r="67" ht="32" customHeight="1">
      <x:c r="A67" s="38"/>
      <x:c r="B67" s="41"/>
      <x:c r="C67" s="38"/>
      <x:c r="D67" s="38"/>
      <x:c r="E67" s="38"/>
      <x:c r="F67" s="38"/>
      <x:c r="G67" s="38"/>
      <x:c r="H67" s="40"/>
      <x:c r="I67" s="40"/>
      <x:c r="J67" s="40"/>
      <x:c r="K67" s="40"/>
      <x:c r="L67" s="38"/>
      <x:c r="M67" s="38"/>
      <x:c r="N67" s="38"/>
      <x:c r="O67" s="38"/>
      <x:c r="P67" s="38"/>
    </x:row>
    <x:row r="68" ht="32" customHeight="1">
      <x:c r="A68" s="38"/>
      <x:c r="B68" s="41"/>
      <x:c r="C68" s="38"/>
      <x:c r="D68" s="38"/>
      <x:c r="E68" s="38"/>
      <x:c r="F68" s="38"/>
      <x:c r="G68" s="38"/>
      <x:c r="H68" s="40"/>
      <x:c r="I68" s="40"/>
      <x:c r="J68" s="40"/>
      <x:c r="K68" s="40"/>
      <x:c r="L68" s="38"/>
      <x:c r="M68" s="38"/>
      <x:c r="N68" s="38"/>
      <x:c r="O68" s="38"/>
      <x:c r="P68" s="38"/>
    </x:row>
    <x:row r="69" ht="32" customHeight="1">
      <x:c r="A69" s="38"/>
      <x:c r="B69" s="41"/>
      <x:c r="C69" s="38"/>
      <x:c r="D69" s="38"/>
      <x:c r="E69" s="38"/>
      <x:c r="F69" s="38"/>
      <x:c r="G69" s="38"/>
      <x:c r="H69" s="40"/>
      <x:c r="I69" s="40"/>
      <x:c r="J69" s="40"/>
      <x:c r="K69" s="40"/>
      <x:c r="L69" s="38"/>
      <x:c r="M69" s="38"/>
      <x:c r="N69" s="38"/>
      <x:c r="O69" s="38"/>
      <x:c r="P69" s="38"/>
    </x:row>
    <x:row r="70" ht="32" customHeight="1">
      <x:c r="A70" s="38"/>
      <x:c r="B70" s="41"/>
      <x:c r="C70" s="38"/>
      <x:c r="D70" s="38"/>
      <x:c r="E70" s="38"/>
      <x:c r="F70" s="38"/>
      <x:c r="G70" s="38"/>
      <x:c r="H70" s="40"/>
      <x:c r="I70" s="40"/>
      <x:c r="J70" s="40"/>
      <x:c r="K70" s="40"/>
      <x:c r="L70" s="38"/>
      <x:c r="M70" s="38"/>
      <x:c r="N70" s="38"/>
      <x:c r="O70" s="38"/>
      <x:c r="P70" s="38"/>
    </x:row>
    <x:row r="71" ht="32" customHeight="1">
      <x:c r="A71" s="38"/>
      <x:c r="B71" s="41"/>
      <x:c r="C71" s="38"/>
      <x:c r="D71" s="38"/>
      <x:c r="E71" s="38"/>
      <x:c r="F71" s="38"/>
      <x:c r="G71" s="38"/>
      <x:c r="H71" s="40"/>
      <x:c r="I71" s="40"/>
      <x:c r="J71" s="40"/>
      <x:c r="K71" s="40"/>
      <x:c r="L71" s="38"/>
      <x:c r="M71" s="38"/>
      <x:c r="N71" s="38"/>
      <x:c r="O71" s="38"/>
      <x:c r="P71" s="38"/>
    </x:row>
    <x:row r="72" ht="32" customHeight="1">
      <x:c r="A72" s="38"/>
      <x:c r="B72" s="41"/>
      <x:c r="C72" s="38"/>
      <x:c r="D72" s="38"/>
      <x:c r="E72" s="38"/>
      <x:c r="F72" s="38"/>
      <x:c r="G72" s="38"/>
      <x:c r="H72" s="40"/>
      <x:c r="I72" s="40"/>
      <x:c r="J72" s="40"/>
      <x:c r="K72" s="40"/>
      <x:c r="L72" s="38"/>
      <x:c r="M72" s="38"/>
      <x:c r="N72" s="38"/>
      <x:c r="O72" s="38"/>
      <x:c r="P72" s="38"/>
    </x:row>
    <x:row r="73" ht="32" customHeight="1">
      <x:c r="A73" s="38"/>
      <x:c r="B73" s="41"/>
      <x:c r="C73" s="38"/>
      <x:c r="D73" s="38"/>
      <x:c r="E73" s="38"/>
      <x:c r="F73" s="38"/>
      <x:c r="G73" s="38"/>
      <x:c r="H73" s="40"/>
      <x:c r="I73" s="40"/>
      <x:c r="J73" s="40"/>
      <x:c r="K73" s="40"/>
      <x:c r="L73" s="38"/>
      <x:c r="M73" s="38"/>
      <x:c r="N73" s="38"/>
      <x:c r="O73" s="38"/>
      <x:c r="P73" s="38"/>
    </x:row>
    <x:row r="74" ht="32" customHeight="1">
      <x:c r="A74" s="38"/>
      <x:c r="B74" s="41"/>
      <x:c r="C74" s="38"/>
      <x:c r="D74" s="38"/>
      <x:c r="E74" s="38"/>
      <x:c r="F74" s="38"/>
      <x:c r="G74" s="38"/>
      <x:c r="H74" s="40"/>
      <x:c r="I74" s="40"/>
      <x:c r="J74" s="40"/>
      <x:c r="K74" s="40"/>
      <x:c r="L74" s="38"/>
      <x:c r="M74" s="38"/>
      <x:c r="N74" s="38"/>
      <x:c r="O74" s="38"/>
      <x:c r="P74" s="38"/>
    </x:row>
    <x:row r="75" ht="32" customHeight="1">
      <x:c r="A75" s="38"/>
      <x:c r="B75" s="41"/>
      <x:c r="C75" s="38"/>
      <x:c r="D75" s="38"/>
      <x:c r="E75" s="38"/>
      <x:c r="F75" s="38"/>
      <x:c r="G75" s="38"/>
      <x:c r="H75" s="40"/>
      <x:c r="I75" s="40"/>
      <x:c r="J75" s="40"/>
      <x:c r="K75" s="40"/>
      <x:c r="L75" s="38"/>
      <x:c r="M75" s="38"/>
      <x:c r="N75" s="38"/>
      <x:c r="O75" s="38"/>
      <x:c r="P75" s="38"/>
    </x:row>
    <x:row r="76" ht="32" customHeight="1">
      <x:c r="A76" s="38"/>
      <x:c r="B76" s="41"/>
      <x:c r="C76" s="38"/>
      <x:c r="D76" s="38"/>
      <x:c r="E76" s="38"/>
      <x:c r="F76" s="38"/>
      <x:c r="G76" s="38"/>
      <x:c r="H76" s="40"/>
      <x:c r="I76" s="40"/>
      <x:c r="J76" s="40"/>
      <x:c r="K76" s="40"/>
      <x:c r="L76" s="38"/>
      <x:c r="M76" s="38"/>
      <x:c r="N76" s="38"/>
      <x:c r="O76" s="38"/>
      <x:c r="P76" s="38"/>
    </x:row>
    <x:row r="77" ht="32" customHeight="1">
      <x:c r="A77" s="38"/>
      <x:c r="B77" s="41"/>
      <x:c r="C77" s="38"/>
      <x:c r="D77" s="38"/>
      <x:c r="E77" s="38"/>
      <x:c r="F77" s="38"/>
      <x:c r="G77" s="38"/>
      <x:c r="H77" s="40"/>
      <x:c r="I77" s="40"/>
      <x:c r="J77" s="40"/>
      <x:c r="K77" s="40"/>
      <x:c r="L77" s="38"/>
      <x:c r="M77" s="38"/>
      <x:c r="N77" s="38"/>
      <x:c r="O77" s="38"/>
      <x:c r="P77" s="38"/>
    </x:row>
    <x:row r="78" ht="32" customHeight="1">
      <x:c r="A78" s="38"/>
      <x:c r="B78" s="41"/>
      <x:c r="C78" s="38"/>
      <x:c r="D78" s="38"/>
      <x:c r="E78" s="38"/>
      <x:c r="F78" s="38"/>
      <x:c r="G78" s="38"/>
      <x:c r="H78" s="40"/>
      <x:c r="I78" s="40"/>
      <x:c r="J78" s="40"/>
      <x:c r="K78" s="40"/>
      <x:c r="L78" s="38"/>
      <x:c r="M78" s="38"/>
      <x:c r="N78" s="38"/>
      <x:c r="O78" s="38"/>
      <x:c r="P78" s="38"/>
    </x:row>
    <x:row r="79" ht="32" customHeight="1">
      <x:c r="A79" s="38"/>
      <x:c r="B79" s="41"/>
      <x:c r="C79" s="38"/>
      <x:c r="D79" s="38"/>
      <x:c r="E79" s="38"/>
      <x:c r="F79" s="38"/>
      <x:c r="G79" s="38"/>
      <x:c r="H79" s="40"/>
      <x:c r="I79" s="40"/>
      <x:c r="J79" s="40"/>
      <x:c r="K79" s="40"/>
      <x:c r="L79" s="38"/>
      <x:c r="M79" s="38"/>
      <x:c r="N79" s="38"/>
      <x:c r="O79" s="38"/>
      <x:c r="P79" s="38"/>
    </x:row>
    <x:row r="80" ht="32" customHeight="1">
      <x:c r="A80" s="38"/>
      <x:c r="B80" s="41"/>
      <x:c r="C80" s="38"/>
      <x:c r="D80" s="38"/>
      <x:c r="E80" s="38"/>
      <x:c r="F80" s="38"/>
      <x:c r="G80" s="38"/>
      <x:c r="H80" s="40"/>
      <x:c r="I80" s="40"/>
      <x:c r="J80" s="40"/>
      <x:c r="K80" s="40"/>
      <x:c r="L80" s="38"/>
      <x:c r="M80" s="38"/>
      <x:c r="N80" s="38"/>
      <x:c r="O80" s="38"/>
      <x:c r="P80" s="38"/>
    </x:row>
    <x:row r="81" ht="32" customHeight="1">
      <x:c r="A81" s="38"/>
      <x:c r="B81" s="41"/>
      <x:c r="C81" s="38"/>
      <x:c r="D81" s="38"/>
      <x:c r="E81" s="38"/>
      <x:c r="F81" s="38"/>
      <x:c r="G81" s="38"/>
      <x:c r="H81" s="40"/>
      <x:c r="I81" s="40"/>
      <x:c r="J81" s="40"/>
      <x:c r="K81" s="40"/>
      <x:c r="L81" s="38"/>
      <x:c r="M81" s="38"/>
      <x:c r="N81" s="38"/>
      <x:c r="O81" s="38"/>
      <x:c r="P81" s="38"/>
    </x:row>
    <x:row r="82" ht="32" customHeight="1">
      <x:c r="A82" s="38"/>
      <x:c r="B82" s="41"/>
      <x:c r="C82" s="38"/>
      <x:c r="D82" s="38"/>
      <x:c r="E82" s="38"/>
      <x:c r="F82" s="38"/>
      <x:c r="G82" s="38"/>
      <x:c r="H82" s="40"/>
      <x:c r="I82" s="40"/>
      <x:c r="J82" s="40"/>
      <x:c r="K82" s="40"/>
      <x:c r="L82" s="38"/>
      <x:c r="M82" s="38"/>
      <x:c r="N82" s="38"/>
      <x:c r="O82" s="38"/>
      <x:c r="P82" s="38"/>
    </x:row>
    <x:row r="83" ht="32" customHeight="1">
      <x:c r="A83" s="38"/>
      <x:c r="B83" s="41"/>
      <x:c r="C83" s="38"/>
      <x:c r="D83" s="38"/>
      <x:c r="E83" s="38"/>
      <x:c r="F83" s="38"/>
      <x:c r="G83" s="38"/>
      <x:c r="H83" s="40"/>
      <x:c r="I83" s="40"/>
      <x:c r="J83" s="40"/>
      <x:c r="K83" s="40"/>
      <x:c r="L83" s="38"/>
      <x:c r="M83" s="38"/>
      <x:c r="N83" s="38"/>
      <x:c r="O83" s="38"/>
      <x:c r="P83" s="38"/>
    </x:row>
    <x:row r="84" ht="32" customHeight="1">
      <x:c r="A84" s="38"/>
      <x:c r="B84" s="41"/>
      <x:c r="C84" s="38"/>
      <x:c r="D84" s="38"/>
      <x:c r="E84" s="38"/>
      <x:c r="F84" s="38"/>
      <x:c r="G84" s="38"/>
      <x:c r="H84" s="40"/>
      <x:c r="I84" s="40"/>
      <x:c r="J84" s="40"/>
      <x:c r="K84" s="40"/>
      <x:c r="L84" s="38"/>
      <x:c r="M84" s="38"/>
      <x:c r="N84" s="38"/>
      <x:c r="O84" s="38"/>
      <x:c r="P84" s="38"/>
    </x:row>
    <x:row r="85" ht="32" customHeight="1">
      <x:c r="A85" s="38"/>
      <x:c r="B85" s="41"/>
      <x:c r="C85" s="38"/>
      <x:c r="D85" s="38"/>
      <x:c r="E85" s="38"/>
      <x:c r="F85" s="38"/>
      <x:c r="G85" s="38"/>
      <x:c r="H85" s="40"/>
      <x:c r="I85" s="40"/>
      <x:c r="J85" s="40"/>
      <x:c r="K85" s="40"/>
      <x:c r="L85" s="38"/>
      <x:c r="M85" s="38"/>
      <x:c r="N85" s="38"/>
      <x:c r="O85" s="38"/>
      <x:c r="P85" s="38"/>
    </x:row>
    <x:row r="86" ht="32" customHeight="1">
      <x:c r="A86" s="38"/>
      <x:c r="B86" s="41"/>
      <x:c r="C86" s="38"/>
      <x:c r="D86" s="38"/>
      <x:c r="E86" s="38"/>
      <x:c r="F86" s="38"/>
      <x:c r="G86" s="38"/>
      <x:c r="H86" s="40"/>
      <x:c r="I86" s="40"/>
      <x:c r="J86" s="40"/>
      <x:c r="K86" s="40"/>
      <x:c r="L86" s="38"/>
      <x:c r="M86" s="38"/>
      <x:c r="N86" s="38"/>
      <x:c r="O86" s="38"/>
      <x:c r="P86" s="38"/>
    </x:row>
    <x:row r="87" ht="32" customHeight="1">
      <x:c r="A87" s="38"/>
      <x:c r="B87" s="41"/>
      <x:c r="C87" s="38"/>
      <x:c r="D87" s="38"/>
      <x:c r="E87" s="38"/>
      <x:c r="F87" s="38"/>
      <x:c r="G87" s="38"/>
      <x:c r="H87" s="40"/>
      <x:c r="I87" s="40"/>
      <x:c r="J87" s="40"/>
      <x:c r="K87" s="40"/>
      <x:c r="L87" s="38"/>
      <x:c r="M87" s="38"/>
      <x:c r="N87" s="38"/>
      <x:c r="O87" s="38"/>
      <x:c r="P87" s="38"/>
    </x:row>
    <x:row r="88" ht="32" customHeight="1">
      <x:c r="A88" s="38"/>
      <x:c r="B88" s="41"/>
      <x:c r="C88" s="38"/>
      <x:c r="D88" s="38"/>
      <x:c r="E88" s="38"/>
      <x:c r="F88" s="38"/>
      <x:c r="G88" s="38"/>
      <x:c r="H88" s="40"/>
      <x:c r="I88" s="40"/>
      <x:c r="J88" s="40"/>
      <x:c r="K88" s="40"/>
      <x:c r="L88" s="38"/>
      <x:c r="M88" s="38"/>
      <x:c r="N88" s="38"/>
      <x:c r="O88" s="38"/>
      <x:c r="P88" s="38"/>
    </x:row>
    <x:row r="89" ht="32" customHeight="1">
      <x:c r="A89" s="38"/>
      <x:c r="B89" s="41"/>
      <x:c r="C89" s="38"/>
      <x:c r="D89" s="38"/>
      <x:c r="E89" s="38"/>
      <x:c r="F89" s="38"/>
      <x:c r="G89" s="38"/>
      <x:c r="H89" s="40"/>
      <x:c r="I89" s="40"/>
      <x:c r="J89" s="40"/>
      <x:c r="K89" s="40"/>
      <x:c r="L89" s="38"/>
      <x:c r="M89" s="38"/>
      <x:c r="N89" s="38"/>
      <x:c r="O89" s="38"/>
      <x:c r="P89" s="38"/>
    </x:row>
    <x:row r="90" ht="32" customHeight="1">
      <x:c r="A90" s="38"/>
      <x:c r="B90" s="41"/>
      <x:c r="C90" s="38"/>
      <x:c r="D90" s="38"/>
      <x:c r="E90" s="38"/>
      <x:c r="F90" s="38"/>
      <x:c r="G90" s="38"/>
      <x:c r="H90" s="40"/>
      <x:c r="I90" s="40"/>
      <x:c r="J90" s="40"/>
      <x:c r="K90" s="40"/>
      <x:c r="L90" s="38"/>
      <x:c r="M90" s="38"/>
      <x:c r="N90" s="38"/>
      <x:c r="O90" s="38"/>
      <x:c r="P90" s="38"/>
    </x:row>
    <x:row r="91" ht="32" customHeight="1">
      <x:c r="A91" s="38"/>
      <x:c r="B91" s="41"/>
      <x:c r="C91" s="38"/>
      <x:c r="D91" s="38"/>
      <x:c r="E91" s="38"/>
      <x:c r="F91" s="38"/>
      <x:c r="G91" s="38"/>
      <x:c r="H91" s="40"/>
      <x:c r="I91" s="40"/>
      <x:c r="J91" s="40"/>
      <x:c r="K91" s="40"/>
      <x:c r="L91" s="38"/>
      <x:c r="M91" s="38"/>
      <x:c r="N91" s="38"/>
      <x:c r="O91" s="38"/>
      <x:c r="P91" s="38"/>
    </x:row>
    <x:row r="92" ht="32" customHeight="1">
      <x:c r="A92" s="38"/>
      <x:c r="B92" s="41"/>
      <x:c r="C92" s="38"/>
      <x:c r="D92" s="38"/>
      <x:c r="E92" s="38"/>
      <x:c r="F92" s="38"/>
      <x:c r="G92" s="38"/>
      <x:c r="H92" s="40"/>
      <x:c r="I92" s="40"/>
      <x:c r="J92" s="40"/>
      <x:c r="K92" s="40"/>
      <x:c r="L92" s="38"/>
      <x:c r="M92" s="38"/>
      <x:c r="N92" s="38"/>
      <x:c r="O92" s="38"/>
      <x:c r="P92" s="38"/>
    </x:row>
    <x:row r="93" ht="32" customHeight="1">
      <x:c r="A93" s="38"/>
      <x:c r="B93" s="41"/>
      <x:c r="C93" s="38"/>
      <x:c r="D93" s="38"/>
      <x:c r="E93" s="38"/>
      <x:c r="F93" s="38"/>
      <x:c r="G93" s="38"/>
      <x:c r="H93" s="40"/>
      <x:c r="I93" s="40"/>
      <x:c r="J93" s="40"/>
      <x:c r="K93" s="40"/>
      <x:c r="L93" s="38"/>
      <x:c r="M93" s="38"/>
      <x:c r="N93" s="38"/>
      <x:c r="O93" s="38"/>
      <x:c r="P93" s="38"/>
    </x:row>
    <x:row r="94" ht="32" customHeight="1">
      <x:c r="A94" s="38"/>
      <x:c r="B94" s="41"/>
      <x:c r="C94" s="38"/>
      <x:c r="D94" s="38"/>
      <x:c r="E94" s="38"/>
      <x:c r="F94" s="38"/>
      <x:c r="G94" s="38"/>
      <x:c r="H94" s="40"/>
      <x:c r="I94" s="40"/>
      <x:c r="J94" s="40"/>
      <x:c r="K94" s="40"/>
      <x:c r="L94" s="38"/>
      <x:c r="M94" s="38"/>
      <x:c r="N94" s="38"/>
      <x:c r="O94" s="38"/>
      <x:c r="P94" s="38"/>
    </x:row>
    <x:row r="95" ht="32" customHeight="1">
      <x:c r="A95" s="38"/>
      <x:c r="B95" s="41"/>
      <x:c r="C95" s="38"/>
      <x:c r="D95" s="38"/>
      <x:c r="E95" s="38"/>
      <x:c r="F95" s="38"/>
      <x:c r="G95" s="38"/>
      <x:c r="H95" s="40"/>
      <x:c r="I95" s="40"/>
      <x:c r="J95" s="40"/>
      <x:c r="K95" s="40"/>
      <x:c r="L95" s="38"/>
      <x:c r="M95" s="38"/>
      <x:c r="N95" s="38"/>
      <x:c r="O95" s="38"/>
      <x:c r="P95" s="38"/>
    </x:row>
    <x:row r="96" ht="32" customHeight="1">
      <x:c r="A96" s="38"/>
      <x:c r="B96" s="41"/>
      <x:c r="C96" s="38"/>
      <x:c r="D96" s="38"/>
      <x:c r="E96" s="38"/>
      <x:c r="F96" s="38"/>
      <x:c r="G96" s="38"/>
      <x:c r="H96" s="40"/>
      <x:c r="I96" s="40"/>
      <x:c r="J96" s="40"/>
      <x:c r="K96" s="40"/>
      <x:c r="L96" s="38"/>
      <x:c r="M96" s="38"/>
      <x:c r="N96" s="38"/>
      <x:c r="O96" s="38"/>
      <x:c r="P96" s="38"/>
    </x:row>
    <x:row r="97" ht="32" customHeight="1">
      <x:c r="A97" s="38"/>
      <x:c r="B97" s="41"/>
      <x:c r="C97" s="38"/>
      <x:c r="D97" s="38"/>
      <x:c r="E97" s="38"/>
      <x:c r="F97" s="38"/>
      <x:c r="G97" s="38"/>
      <x:c r="H97" s="40"/>
      <x:c r="I97" s="40"/>
      <x:c r="J97" s="40"/>
      <x:c r="K97" s="40"/>
      <x:c r="L97" s="38"/>
      <x:c r="M97" s="38"/>
      <x:c r="N97" s="38"/>
      <x:c r="O97" s="38"/>
      <x:c r="P97" s="38"/>
    </x:row>
    <x:row r="98" ht="32" customHeight="1">
      <x:c r="A98" s="38"/>
      <x:c r="B98" s="41"/>
      <x:c r="C98" s="38"/>
      <x:c r="D98" s="38"/>
      <x:c r="E98" s="38"/>
      <x:c r="F98" s="38"/>
      <x:c r="G98" s="38"/>
      <x:c r="H98" s="40"/>
      <x:c r="I98" s="40"/>
      <x:c r="J98" s="40"/>
      <x:c r="K98" s="40"/>
      <x:c r="L98" s="38"/>
      <x:c r="M98" s="38"/>
      <x:c r="N98" s="38"/>
      <x:c r="O98" s="38"/>
      <x:c r="P98" s="38"/>
    </x:row>
    <x:row r="99" ht="32" customHeight="1">
      <x:c r="A99" s="38"/>
      <x:c r="B99" s="41"/>
      <x:c r="C99" s="38"/>
      <x:c r="D99" s="38"/>
      <x:c r="E99" s="38"/>
      <x:c r="F99" s="38"/>
      <x:c r="G99" s="38"/>
      <x:c r="H99" s="40"/>
      <x:c r="I99" s="40"/>
      <x:c r="J99" s="40"/>
      <x:c r="K99" s="40"/>
      <x:c r="L99" s="38"/>
      <x:c r="M99" s="38"/>
      <x:c r="N99" s="38"/>
      <x:c r="O99" s="38"/>
      <x:c r="P99" s="38"/>
    </x:row>
    <x:row r="100" ht="32" customHeight="1">
      <x:c r="A100" s="38"/>
      <x:c r="B100" s="41"/>
      <x:c r="C100" s="38"/>
      <x:c r="D100" s="38"/>
      <x:c r="E100" s="38"/>
      <x:c r="F100" s="38"/>
      <x:c r="G100" s="38"/>
      <x:c r="H100" s="40"/>
      <x:c r="I100" s="40"/>
      <x:c r="J100" s="40"/>
      <x:c r="K100" s="40"/>
      <x:c r="L100" s="38"/>
      <x:c r="M100" s="38"/>
      <x:c r="N100" s="38"/>
      <x:c r="O100" s="38"/>
      <x:c r="P100" s="38"/>
    </x:row>
    <x:row r="101" ht="32" customHeight="1">
      <x:c r="A101" s="38"/>
      <x:c r="B101" s="41"/>
      <x:c r="C101" s="38"/>
      <x:c r="D101" s="38"/>
      <x:c r="E101" s="38"/>
      <x:c r="F101" s="38"/>
      <x:c r="G101" s="38"/>
      <x:c r="H101" s="40"/>
      <x:c r="I101" s="40"/>
      <x:c r="J101" s="40"/>
      <x:c r="K101" s="40"/>
      <x:c r="L101" s="38"/>
      <x:c r="M101" s="38"/>
      <x:c r="N101" s="38"/>
      <x:c r="O101" s="38"/>
      <x:c r="P101" s="38"/>
    </x:row>
    <x:row r="102" ht="32" customHeight="1">
      <x:c r="A102" s="38"/>
      <x:c r="B102" s="41"/>
      <x:c r="C102" s="38"/>
      <x:c r="D102" s="38"/>
      <x:c r="E102" s="38"/>
      <x:c r="F102" s="38"/>
      <x:c r="G102" s="38"/>
      <x:c r="H102" s="40"/>
      <x:c r="I102" s="40"/>
      <x:c r="J102" s="40"/>
      <x:c r="K102" s="40"/>
      <x:c r="L102" s="38"/>
      <x:c r="M102" s="38"/>
      <x:c r="N102" s="38"/>
      <x:c r="O102" s="38"/>
      <x:c r="P102" s="38"/>
    </x:row>
    <x:row r="103" ht="32" customHeight="1">
      <x:c r="A103" s="38"/>
      <x:c r="B103" s="41"/>
      <x:c r="C103" s="38"/>
      <x:c r="D103" s="38"/>
      <x:c r="E103" s="38"/>
      <x:c r="F103" s="38"/>
      <x:c r="G103" s="38"/>
      <x:c r="H103" s="40"/>
      <x:c r="I103" s="40"/>
      <x:c r="J103" s="40"/>
      <x:c r="K103" s="40"/>
      <x:c r="L103" s="38"/>
      <x:c r="M103" s="38"/>
      <x:c r="N103" s="38"/>
      <x:c r="O103" s="38"/>
      <x:c r="P103" s="38"/>
    </x:row>
    <x:row r="104" ht="32" customHeight="1">
      <x:c r="A104" s="38"/>
      <x:c r="B104" s="41"/>
      <x:c r="C104" s="38"/>
      <x:c r="D104" s="38"/>
      <x:c r="E104" s="38"/>
      <x:c r="F104" s="38"/>
      <x:c r="G104" s="38"/>
      <x:c r="H104" s="40"/>
      <x:c r="I104" s="40"/>
      <x:c r="J104" s="40"/>
      <x:c r="K104" s="40"/>
      <x:c r="L104" s="38"/>
      <x:c r="M104" s="38"/>
      <x:c r="N104" s="38"/>
      <x:c r="O104" s="38"/>
      <x:c r="P104" s="38"/>
    </x:row>
    <x:row r="105" ht="32" customHeight="1">
      <x:c r="A105" s="38"/>
      <x:c r="B105" s="41"/>
      <x:c r="C105" s="38"/>
      <x:c r="D105" s="38"/>
      <x:c r="E105" s="38"/>
      <x:c r="F105" s="38"/>
      <x:c r="G105" s="38"/>
      <x:c r="H105" s="40"/>
      <x:c r="I105" s="40"/>
      <x:c r="J105" s="40"/>
      <x:c r="K105" s="40"/>
      <x:c r="L105" s="38"/>
      <x:c r="M105" s="38"/>
      <x:c r="N105" s="38"/>
      <x:c r="O105" s="38"/>
      <x:c r="P105" s="38"/>
    </x:row>
    <x:row r="106" ht="32" customHeight="1">
      <x:c r="A106" s="38"/>
      <x:c r="B106" s="41"/>
      <x:c r="C106" s="38"/>
      <x:c r="D106" s="38"/>
      <x:c r="E106" s="38"/>
      <x:c r="F106" s="38"/>
      <x:c r="G106" s="38"/>
      <x:c r="H106" s="40"/>
      <x:c r="I106" s="40"/>
      <x:c r="J106" s="40"/>
      <x:c r="K106" s="40"/>
      <x:c r="L106" s="38"/>
      <x:c r="M106" s="38"/>
      <x:c r="N106" s="38"/>
      <x:c r="O106" s="38"/>
      <x:c r="P106" s="38"/>
    </x:row>
    <x:row r="107" ht="32" customHeight="1">
      <x:c r="A107" s="38"/>
      <x:c r="B107" s="41"/>
      <x:c r="C107" s="38"/>
      <x:c r="D107" s="38"/>
      <x:c r="E107" s="38"/>
      <x:c r="F107" s="38"/>
      <x:c r="G107" s="38"/>
      <x:c r="H107" s="40"/>
      <x:c r="I107" s="40"/>
      <x:c r="J107" s="40"/>
      <x:c r="K107" s="40"/>
      <x:c r="L107" s="38"/>
      <x:c r="M107" s="38"/>
      <x:c r="N107" s="38"/>
      <x:c r="O107" s="38"/>
      <x:c r="P107" s="38"/>
    </x:row>
    <x:row r="108" ht="32" customHeight="1">
      <x:c r="A108" s="38"/>
      <x:c r="B108" s="41"/>
      <x:c r="C108" s="38"/>
      <x:c r="D108" s="38"/>
      <x:c r="E108" s="38"/>
      <x:c r="F108" s="38"/>
      <x:c r="G108" s="38"/>
      <x:c r="H108" s="40"/>
      <x:c r="I108" s="40"/>
      <x:c r="J108" s="40"/>
      <x:c r="K108" s="40"/>
      <x:c r="L108" s="38"/>
      <x:c r="M108" s="38"/>
      <x:c r="N108" s="38"/>
      <x:c r="O108" s="38"/>
      <x:c r="P108" s="38"/>
    </x:row>
    <x:row r="109" ht="32" customHeight="1">
      <x:c r="A109" s="38"/>
      <x:c r="B109" s="41"/>
      <x:c r="C109" s="38"/>
      <x:c r="D109" s="38"/>
      <x:c r="E109" s="38"/>
      <x:c r="F109" s="38"/>
      <x:c r="G109" s="38"/>
      <x:c r="H109" s="40"/>
      <x:c r="I109" s="40"/>
      <x:c r="J109" s="40"/>
      <x:c r="K109" s="40"/>
      <x:c r="L109" s="38"/>
      <x:c r="M109" s="38"/>
      <x:c r="N109" s="38"/>
      <x:c r="O109" s="38"/>
      <x:c r="P109" s="38"/>
    </x:row>
    <x:row r="110" ht="32" customHeight="1">
      <x:c r="A110" s="38"/>
      <x:c r="B110" s="41"/>
      <x:c r="C110" s="38"/>
      <x:c r="D110" s="38"/>
      <x:c r="E110" s="38"/>
      <x:c r="F110" s="38"/>
      <x:c r="G110" s="38"/>
      <x:c r="H110" s="40"/>
      <x:c r="I110" s="40"/>
      <x:c r="J110" s="40"/>
      <x:c r="K110" s="40"/>
      <x:c r="L110" s="38"/>
      <x:c r="M110" s="38"/>
      <x:c r="N110" s="38"/>
      <x:c r="O110" s="38"/>
      <x:c r="P110" s="38"/>
    </x:row>
    <x:row r="111" ht="32" customHeight="1">
      <x:c r="A111" s="38"/>
      <x:c r="B111" s="41"/>
      <x:c r="C111" s="38"/>
      <x:c r="D111" s="38"/>
      <x:c r="E111" s="38"/>
      <x:c r="F111" s="38"/>
      <x:c r="G111" s="38"/>
      <x:c r="H111" s="40"/>
      <x:c r="I111" s="40"/>
      <x:c r="J111" s="40"/>
      <x:c r="K111" s="40"/>
      <x:c r="L111" s="38"/>
      <x:c r="M111" s="38"/>
      <x:c r="N111" s="38"/>
      <x:c r="O111" s="38"/>
      <x:c r="P111" s="38"/>
    </x:row>
    <x:row r="112" ht="32" customHeight="1">
      <x:c r="A112" s="38"/>
      <x:c r="B112" s="41"/>
      <x:c r="C112" s="38"/>
      <x:c r="D112" s="38"/>
      <x:c r="E112" s="38"/>
      <x:c r="F112" s="38"/>
      <x:c r="G112" s="38"/>
      <x:c r="H112" s="40"/>
      <x:c r="I112" s="40"/>
      <x:c r="J112" s="40"/>
      <x:c r="K112" s="40"/>
      <x:c r="L112" s="38"/>
      <x:c r="M112" s="38"/>
      <x:c r="N112" s="38"/>
      <x:c r="O112" s="38"/>
      <x:c r="P112" s="38"/>
    </x:row>
    <x:row r="113" ht="32" customHeight="1">
      <x:c r="A113" s="38"/>
      <x:c r="B113" s="41"/>
      <x:c r="C113" s="38"/>
      <x:c r="D113" s="38"/>
      <x:c r="E113" s="38"/>
      <x:c r="F113" s="38"/>
      <x:c r="G113" s="38"/>
      <x:c r="H113" s="40"/>
      <x:c r="I113" s="40"/>
      <x:c r="J113" s="40"/>
      <x:c r="K113" s="40"/>
      <x:c r="L113" s="38"/>
      <x:c r="M113" s="38"/>
      <x:c r="N113" s="38"/>
      <x:c r="O113" s="38"/>
      <x:c r="P113" s="38"/>
    </x:row>
    <x:row r="114" ht="32" customHeight="1">
      <x:c r="A114" s="38"/>
      <x:c r="B114" s="41"/>
      <x:c r="C114" s="38"/>
      <x:c r="D114" s="38"/>
      <x:c r="E114" s="38"/>
      <x:c r="F114" s="38"/>
      <x:c r="G114" s="38"/>
      <x:c r="H114" s="40"/>
      <x:c r="I114" s="40"/>
      <x:c r="J114" s="40"/>
      <x:c r="K114" s="40"/>
      <x:c r="L114" s="38"/>
      <x:c r="M114" s="38"/>
      <x:c r="N114" s="38"/>
      <x:c r="O114" s="38"/>
      <x:c r="P114" s="38"/>
    </x:row>
    <x:row r="115" ht="32" customHeight="1">
      <x:c r="A115" s="38"/>
      <x:c r="B115" s="41"/>
      <x:c r="C115" s="38"/>
      <x:c r="D115" s="38"/>
      <x:c r="E115" s="38"/>
      <x:c r="F115" s="38"/>
      <x:c r="G115" s="38"/>
      <x:c r="H115" s="40"/>
      <x:c r="I115" s="40"/>
      <x:c r="J115" s="40"/>
      <x:c r="K115" s="40"/>
      <x:c r="L115" s="38"/>
      <x:c r="M115" s="38"/>
      <x:c r="N115" s="38"/>
      <x:c r="O115" s="38"/>
      <x:c r="P115" s="38"/>
    </x:row>
    <x:row r="116" ht="32" customHeight="1">
      <x:c r="A116" s="38"/>
      <x:c r="B116" s="41"/>
      <x:c r="C116" s="38"/>
      <x:c r="D116" s="38"/>
      <x:c r="E116" s="38"/>
      <x:c r="F116" s="38"/>
      <x:c r="G116" s="38"/>
      <x:c r="H116" s="40"/>
      <x:c r="I116" s="40"/>
      <x:c r="J116" s="40"/>
      <x:c r="K116" s="40"/>
      <x:c r="L116" s="38"/>
      <x:c r="M116" s="38"/>
      <x:c r="N116" s="38"/>
      <x:c r="O116" s="38"/>
      <x:c r="P116" s="38"/>
    </x:row>
    <x:row r="117" ht="32" customHeight="1">
      <x:c r="A117" s="38"/>
      <x:c r="B117" s="41"/>
      <x:c r="C117" s="38"/>
      <x:c r="D117" s="38"/>
      <x:c r="E117" s="38"/>
      <x:c r="F117" s="38"/>
      <x:c r="G117" s="38"/>
      <x:c r="H117" s="40"/>
      <x:c r="I117" s="40"/>
      <x:c r="J117" s="40"/>
      <x:c r="K117" s="40"/>
      <x:c r="L117" s="38"/>
      <x:c r="M117" s="38"/>
      <x:c r="N117" s="38"/>
      <x:c r="O117" s="38"/>
      <x:c r="P117" s="38"/>
    </x:row>
    <x:row r="118" ht="32" customHeight="1">
      <x:c r="A118" s="38"/>
      <x:c r="B118" s="41"/>
      <x:c r="C118" s="38"/>
      <x:c r="D118" s="38"/>
      <x:c r="E118" s="38"/>
      <x:c r="F118" s="38"/>
      <x:c r="G118" s="38"/>
      <x:c r="H118" s="40"/>
      <x:c r="I118" s="40"/>
      <x:c r="J118" s="40"/>
      <x:c r="K118" s="40"/>
      <x:c r="L118" s="38"/>
      <x:c r="M118" s="38"/>
      <x:c r="N118" s="38"/>
      <x:c r="O118" s="38"/>
      <x:c r="P118" s="38"/>
    </x:row>
    <x:row r="119" ht="32" customHeight="1">
      <x:c r="A119" s="38"/>
      <x:c r="B119" s="41"/>
      <x:c r="C119" s="38"/>
      <x:c r="D119" s="38"/>
      <x:c r="E119" s="38"/>
      <x:c r="F119" s="38"/>
      <x:c r="G119" s="38"/>
      <x:c r="H119" s="40"/>
      <x:c r="I119" s="40"/>
      <x:c r="J119" s="40"/>
      <x:c r="K119" s="40"/>
      <x:c r="L119" s="38"/>
      <x:c r="M119" s="38"/>
      <x:c r="N119" s="38"/>
      <x:c r="O119" s="38"/>
      <x:c r="P119" s="38"/>
    </x:row>
    <x:row r="120" ht="32" customHeight="1">
      <x:c r="A120" s="38"/>
      <x:c r="B120" s="41"/>
      <x:c r="C120" s="38"/>
      <x:c r="D120" s="38"/>
      <x:c r="E120" s="38"/>
      <x:c r="F120" s="38"/>
      <x:c r="G120" s="38"/>
      <x:c r="H120" s="40"/>
      <x:c r="I120" s="40"/>
      <x:c r="J120" s="40"/>
      <x:c r="K120" s="40"/>
      <x:c r="L120" s="38"/>
      <x:c r="M120" s="38"/>
      <x:c r="N120" s="38"/>
      <x:c r="O120" s="38"/>
      <x:c r="P120" s="38"/>
    </x:row>
    <x:row r="121" ht="32" customHeight="1">
      <x:c r="A121" s="38"/>
      <x:c r="B121" s="41"/>
      <x:c r="C121" s="38"/>
      <x:c r="D121" s="38"/>
      <x:c r="E121" s="38"/>
      <x:c r="F121" s="38"/>
      <x:c r="G121" s="38"/>
      <x:c r="H121" s="40"/>
      <x:c r="I121" s="40"/>
      <x:c r="J121" s="40"/>
      <x:c r="K121" s="40"/>
      <x:c r="L121" s="38"/>
      <x:c r="M121" s="38"/>
      <x:c r="N121" s="38"/>
      <x:c r="O121" s="38"/>
      <x:c r="P121" s="38"/>
    </x:row>
    <x:row r="122" ht="32" customHeight="1">
      <x:c r="A122" s="38"/>
      <x:c r="B122" s="41"/>
      <x:c r="C122" s="38"/>
      <x:c r="D122" s="38"/>
      <x:c r="E122" s="38"/>
      <x:c r="F122" s="38"/>
      <x:c r="G122" s="38"/>
      <x:c r="H122" s="40"/>
      <x:c r="I122" s="40"/>
      <x:c r="J122" s="40"/>
      <x:c r="K122" s="40"/>
      <x:c r="L122" s="38"/>
      <x:c r="M122" s="38"/>
      <x:c r="N122" s="38"/>
      <x:c r="O122" s="38"/>
      <x:c r="P122" s="38"/>
    </x:row>
    <x:row r="123" ht="32" customHeight="1">
      <x:c r="A123" s="38"/>
      <x:c r="B123" s="41"/>
      <x:c r="C123" s="38"/>
      <x:c r="D123" s="38"/>
      <x:c r="E123" s="38"/>
      <x:c r="F123" s="38"/>
      <x:c r="G123" s="38"/>
      <x:c r="H123" s="40"/>
      <x:c r="I123" s="40"/>
      <x:c r="J123" s="40"/>
      <x:c r="K123" s="40"/>
      <x:c r="L123" s="38"/>
      <x:c r="M123" s="38"/>
      <x:c r="N123" s="38"/>
      <x:c r="O123" s="38"/>
      <x:c r="P123" s="38"/>
    </x:row>
    <x:row r="124" ht="32" customHeight="1">
      <x:c r="A124" s="38"/>
      <x:c r="B124" s="41"/>
      <x:c r="C124" s="38"/>
      <x:c r="D124" s="38"/>
      <x:c r="E124" s="38"/>
      <x:c r="F124" s="38"/>
      <x:c r="G124" s="38"/>
      <x:c r="H124" s="40"/>
      <x:c r="I124" s="40"/>
      <x:c r="J124" s="40"/>
      <x:c r="K124" s="40"/>
      <x:c r="L124" s="38"/>
      <x:c r="M124" s="38"/>
      <x:c r="N124" s="38"/>
      <x:c r="O124" s="38"/>
      <x:c r="P124" s="38"/>
    </x:row>
    <x:row r="125" ht="32" customHeight="1">
      <x:c r="A125" s="38"/>
      <x:c r="B125" s="41"/>
      <x:c r="C125" s="38"/>
      <x:c r="D125" s="38"/>
      <x:c r="E125" s="38"/>
      <x:c r="F125" s="38"/>
      <x:c r="G125" s="38"/>
      <x:c r="H125" s="40"/>
      <x:c r="I125" s="40"/>
      <x:c r="J125" s="40"/>
      <x:c r="K125" s="40"/>
      <x:c r="L125" s="38"/>
      <x:c r="M125" s="38"/>
      <x:c r="N125" s="38"/>
      <x:c r="O125" s="38"/>
      <x:c r="P125" s="38"/>
    </x:row>
    <x:row r="126" ht="32" customHeight="1">
      <x:c r="A126" s="38"/>
      <x:c r="B126" s="41"/>
      <x:c r="C126" s="38"/>
      <x:c r="D126" s="38"/>
      <x:c r="E126" s="38"/>
      <x:c r="F126" s="38"/>
      <x:c r="G126" s="38"/>
      <x:c r="H126" s="40"/>
      <x:c r="I126" s="40"/>
      <x:c r="J126" s="40"/>
      <x:c r="K126" s="40"/>
      <x:c r="L126" s="38"/>
      <x:c r="M126" s="38"/>
      <x:c r="N126" s="38"/>
      <x:c r="O126" s="38"/>
      <x:c r="P126" s="38"/>
    </x:row>
    <x:row r="127" ht="32" customHeight="1">
      <x:c r="A127" s="38"/>
      <x:c r="B127" s="41"/>
      <x:c r="C127" s="38"/>
      <x:c r="D127" s="38"/>
      <x:c r="E127" s="38"/>
      <x:c r="F127" s="38"/>
      <x:c r="G127" s="38"/>
      <x:c r="H127" s="40"/>
      <x:c r="I127" s="40"/>
      <x:c r="J127" s="40"/>
      <x:c r="K127" s="40"/>
      <x:c r="L127" s="38"/>
      <x:c r="M127" s="38"/>
      <x:c r="N127" s="38"/>
      <x:c r="O127" s="38"/>
      <x:c r="P127" s="38"/>
    </x:row>
    <x:row r="128" ht="32" customHeight="1">
      <x:c r="A128" s="38"/>
      <x:c r="B128" s="41"/>
      <x:c r="C128" s="38"/>
      <x:c r="D128" s="38"/>
      <x:c r="E128" s="38"/>
      <x:c r="F128" s="38"/>
      <x:c r="G128" s="38"/>
      <x:c r="H128" s="40"/>
      <x:c r="I128" s="40"/>
      <x:c r="J128" s="40"/>
      <x:c r="K128" s="40"/>
      <x:c r="L128" s="38"/>
      <x:c r="M128" s="38"/>
      <x:c r="N128" s="38"/>
      <x:c r="O128" s="38"/>
      <x:c r="P128" s="38"/>
    </x:row>
    <x:row r="129" ht="32" customHeight="1">
      <x:c r="A129" s="38"/>
      <x:c r="B129" s="41"/>
      <x:c r="C129" s="38"/>
      <x:c r="D129" s="38"/>
      <x:c r="E129" s="38"/>
      <x:c r="F129" s="38"/>
      <x:c r="G129" s="38"/>
      <x:c r="H129" s="40"/>
      <x:c r="I129" s="40"/>
      <x:c r="J129" s="40"/>
      <x:c r="K129" s="40"/>
      <x:c r="L129" s="38"/>
      <x:c r="M129" s="38"/>
      <x:c r="N129" s="38"/>
      <x:c r="O129" s="38"/>
      <x:c r="P129" s="38"/>
    </x:row>
    <x:row r="130" ht="32" customHeight="1">
      <x:c r="A130" s="38"/>
      <x:c r="B130" s="41"/>
      <x:c r="C130" s="38"/>
      <x:c r="D130" s="38"/>
      <x:c r="E130" s="38"/>
      <x:c r="F130" s="38"/>
      <x:c r="G130" s="38"/>
      <x:c r="H130" s="40"/>
      <x:c r="I130" s="40"/>
      <x:c r="J130" s="40"/>
      <x:c r="K130" s="40"/>
      <x:c r="L130" s="38"/>
      <x:c r="M130" s="38"/>
      <x:c r="N130" s="38"/>
      <x:c r="O130" s="38"/>
      <x:c r="P130" s="38"/>
    </x:row>
    <x:row r="131" ht="32" customHeight="1">
      <x:c r="A131" s="38"/>
      <x:c r="B131" s="41"/>
      <x:c r="C131" s="38"/>
      <x:c r="D131" s="38"/>
      <x:c r="E131" s="38"/>
      <x:c r="F131" s="38"/>
      <x:c r="G131" s="38"/>
      <x:c r="H131" s="40"/>
      <x:c r="I131" s="40"/>
      <x:c r="J131" s="40"/>
      <x:c r="K131" s="40"/>
      <x:c r="L131" s="38"/>
      <x:c r="M131" s="38"/>
      <x:c r="N131" s="38"/>
      <x:c r="O131" s="38"/>
      <x:c r="P131" s="38"/>
    </x:row>
    <x:row r="132" ht="32" customHeight="1">
      <x:c r="A132" s="38"/>
      <x:c r="B132" s="41"/>
      <x:c r="C132" s="38"/>
      <x:c r="D132" s="38"/>
      <x:c r="E132" s="38"/>
      <x:c r="F132" s="38"/>
      <x:c r="G132" s="38"/>
      <x:c r="H132" s="40"/>
      <x:c r="I132" s="40"/>
      <x:c r="J132" s="40"/>
      <x:c r="K132" s="40"/>
      <x:c r="L132" s="38"/>
      <x:c r="M132" s="38"/>
      <x:c r="N132" s="38"/>
      <x:c r="O132" s="38"/>
      <x:c r="P132" s="38"/>
    </x:row>
    <x:row r="133" ht="32" customHeight="1">
      <x:c r="A133" s="38"/>
      <x:c r="B133" s="41"/>
      <x:c r="C133" s="38"/>
      <x:c r="D133" s="38"/>
      <x:c r="E133" s="38"/>
      <x:c r="F133" s="38"/>
      <x:c r="G133" s="38"/>
      <x:c r="H133" s="40"/>
      <x:c r="I133" s="40"/>
      <x:c r="J133" s="40"/>
      <x:c r="K133" s="40"/>
      <x:c r="L133" s="38"/>
      <x:c r="M133" s="38"/>
      <x:c r="N133" s="38"/>
      <x:c r="O133" s="38"/>
      <x:c r="P133" s="38"/>
    </x:row>
    <x:row r="134" ht="32" customHeight="1">
      <x:c r="A134" s="38"/>
      <x:c r="B134" s="41"/>
      <x:c r="C134" s="38"/>
      <x:c r="D134" s="38"/>
      <x:c r="E134" s="38"/>
      <x:c r="F134" s="38"/>
      <x:c r="G134" s="38"/>
      <x:c r="H134" s="40"/>
      <x:c r="I134" s="40"/>
      <x:c r="J134" s="40"/>
      <x:c r="K134" s="40"/>
      <x:c r="L134" s="38"/>
      <x:c r="M134" s="38"/>
      <x:c r="N134" s="38"/>
      <x:c r="O134" s="38"/>
      <x:c r="P134" s="38"/>
    </x:row>
    <x:row r="135" ht="32" customHeight="1">
      <x:c r="A135" s="38"/>
      <x:c r="B135" s="41"/>
      <x:c r="C135" s="38"/>
      <x:c r="D135" s="38"/>
      <x:c r="E135" s="38"/>
      <x:c r="F135" s="38"/>
      <x:c r="G135" s="38"/>
      <x:c r="H135" s="40"/>
      <x:c r="I135" s="40"/>
      <x:c r="J135" s="40"/>
      <x:c r="K135" s="40"/>
      <x:c r="L135" s="38"/>
      <x:c r="M135" s="38"/>
      <x:c r="N135" s="38"/>
      <x:c r="O135" s="38"/>
      <x:c r="P135" s="38"/>
    </x:row>
    <x:row r="136" ht="32" customHeight="1">
      <x:c r="A136" s="38"/>
      <x:c r="B136" s="41"/>
      <x:c r="C136" s="38"/>
      <x:c r="D136" s="38"/>
      <x:c r="E136" s="38"/>
      <x:c r="F136" s="38"/>
      <x:c r="G136" s="38"/>
      <x:c r="H136" s="40"/>
      <x:c r="I136" s="40"/>
      <x:c r="J136" s="40"/>
      <x:c r="K136" s="40"/>
      <x:c r="L136" s="38"/>
      <x:c r="M136" s="38"/>
      <x:c r="N136" s="38"/>
      <x:c r="O136" s="38"/>
      <x:c r="P136" s="38"/>
    </x:row>
    <x:row r="137" ht="32" customHeight="1">
      <x:c r="A137" s="38"/>
      <x:c r="B137" s="41"/>
      <x:c r="C137" s="38"/>
      <x:c r="D137" s="38"/>
      <x:c r="E137" s="38"/>
      <x:c r="F137" s="38"/>
      <x:c r="G137" s="38"/>
      <x:c r="H137" s="40"/>
      <x:c r="I137" s="40"/>
      <x:c r="J137" s="40"/>
      <x:c r="K137" s="40"/>
      <x:c r="L137" s="38"/>
      <x:c r="M137" s="38"/>
      <x:c r="N137" s="38"/>
      <x:c r="O137" s="38"/>
      <x:c r="P137" s="38"/>
    </x:row>
    <x:row r="138" ht="32" customHeight="1">
      <x:c r="A138" s="38"/>
      <x:c r="B138" s="41"/>
      <x:c r="C138" s="38"/>
      <x:c r="D138" s="38"/>
      <x:c r="E138" s="38"/>
      <x:c r="F138" s="38"/>
      <x:c r="G138" s="38"/>
      <x:c r="H138" s="40"/>
      <x:c r="I138" s="40"/>
      <x:c r="J138" s="40"/>
      <x:c r="K138" s="40"/>
      <x:c r="L138" s="38"/>
      <x:c r="M138" s="38"/>
      <x:c r="N138" s="38"/>
      <x:c r="O138" s="38"/>
      <x:c r="P138" s="38"/>
    </x:row>
    <x:row r="139" ht="32" customHeight="1">
      <x:c r="A139" s="38"/>
      <x:c r="B139" s="41"/>
      <x:c r="C139" s="38"/>
      <x:c r="D139" s="38"/>
      <x:c r="E139" s="38"/>
      <x:c r="F139" s="38"/>
      <x:c r="G139" s="38"/>
      <x:c r="H139" s="40"/>
      <x:c r="I139" s="40"/>
      <x:c r="J139" s="40"/>
      <x:c r="K139" s="40"/>
      <x:c r="L139" s="38"/>
      <x:c r="M139" s="38"/>
      <x:c r="N139" s="38"/>
      <x:c r="O139" s="38"/>
      <x:c r="P139" s="38"/>
    </x:row>
    <x:row r="140" ht="32" customHeight="1">
      <x:c r="A140" s="38"/>
      <x:c r="B140" s="41"/>
      <x:c r="C140" s="38"/>
      <x:c r="D140" s="38"/>
      <x:c r="E140" s="38"/>
      <x:c r="F140" s="38"/>
      <x:c r="G140" s="38"/>
      <x:c r="H140" s="40"/>
      <x:c r="I140" s="40"/>
      <x:c r="J140" s="40"/>
      <x:c r="K140" s="40"/>
      <x:c r="L140" s="38"/>
      <x:c r="M140" s="38"/>
      <x:c r="N140" s="38"/>
      <x:c r="O140" s="38"/>
      <x:c r="P140" s="38"/>
    </x:row>
    <x:row r="141" ht="32" customHeight="1">
      <x:c r="A141" s="38"/>
      <x:c r="B141" s="41"/>
      <x:c r="C141" s="38"/>
      <x:c r="D141" s="38"/>
      <x:c r="E141" s="38"/>
      <x:c r="F141" s="38"/>
      <x:c r="G141" s="38"/>
      <x:c r="H141" s="40"/>
      <x:c r="I141" s="40"/>
      <x:c r="J141" s="40"/>
      <x:c r="K141" s="40"/>
      <x:c r="L141" s="38"/>
      <x:c r="M141" s="38"/>
      <x:c r="N141" s="38"/>
      <x:c r="O141" s="38"/>
      <x:c r="P141" s="38"/>
    </x:row>
    <x:row r="142" ht="32" customHeight="1">
      <x:c r="A142" s="38"/>
      <x:c r="B142" s="41"/>
      <x:c r="C142" s="38"/>
      <x:c r="D142" s="38"/>
      <x:c r="E142" s="38"/>
      <x:c r="F142" s="38"/>
      <x:c r="G142" s="38"/>
      <x:c r="H142" s="40"/>
      <x:c r="I142" s="40"/>
      <x:c r="J142" s="40"/>
      <x:c r="K142" s="40"/>
      <x:c r="L142" s="38"/>
      <x:c r="M142" s="38"/>
      <x:c r="N142" s="38"/>
      <x:c r="O142" s="38"/>
      <x:c r="P142" s="38"/>
    </x:row>
    <x:row r="143" ht="32" customHeight="1">
      <x:c r="A143" s="38"/>
      <x:c r="B143" s="41"/>
      <x:c r="C143" s="38"/>
      <x:c r="D143" s="38"/>
      <x:c r="E143" s="38"/>
      <x:c r="F143" s="38"/>
      <x:c r="G143" s="38"/>
      <x:c r="H143" s="40"/>
      <x:c r="I143" s="40"/>
      <x:c r="J143" s="40"/>
      <x:c r="K143" s="40"/>
      <x:c r="L143" s="38"/>
      <x:c r="M143" s="38"/>
      <x:c r="N143" s="38"/>
      <x:c r="O143" s="38"/>
      <x:c r="P143" s="38"/>
    </x:row>
    <x:row r="144" ht="32" customHeight="1">
      <x:c r="A144" s="38"/>
      <x:c r="B144" s="41"/>
      <x:c r="C144" s="38"/>
      <x:c r="D144" s="38"/>
      <x:c r="E144" s="38"/>
      <x:c r="F144" s="38"/>
      <x:c r="G144" s="38"/>
      <x:c r="H144" s="40"/>
      <x:c r="I144" s="40"/>
      <x:c r="J144" s="40"/>
      <x:c r="K144" s="40"/>
      <x:c r="L144" s="38"/>
      <x:c r="M144" s="38"/>
      <x:c r="N144" s="38"/>
      <x:c r="O144" s="38"/>
      <x:c r="P144" s="38"/>
    </x:row>
    <x:row r="145" ht="32" customHeight="1">
      <x:c r="A145" s="38"/>
      <x:c r="B145" s="41"/>
      <x:c r="C145" s="38"/>
      <x:c r="D145" s="38"/>
      <x:c r="E145" s="38"/>
      <x:c r="F145" s="38"/>
      <x:c r="G145" s="38"/>
      <x:c r="H145" s="40"/>
      <x:c r="I145" s="40"/>
      <x:c r="J145" s="40"/>
      <x:c r="K145" s="40"/>
      <x:c r="L145" s="38"/>
      <x:c r="M145" s="38"/>
      <x:c r="N145" s="38"/>
      <x:c r="O145" s="38"/>
      <x:c r="P145" s="38"/>
    </x:row>
    <x:row r="146" ht="32" customHeight="1">
      <x:c r="A146" s="38"/>
      <x:c r="B146" s="41"/>
      <x:c r="C146" s="38"/>
      <x:c r="D146" s="38"/>
      <x:c r="E146" s="38"/>
      <x:c r="F146" s="38"/>
      <x:c r="G146" s="38"/>
      <x:c r="H146" s="40"/>
      <x:c r="I146" s="40"/>
      <x:c r="J146" s="40"/>
      <x:c r="K146" s="40"/>
      <x:c r="L146" s="38"/>
      <x:c r="M146" s="38"/>
      <x:c r="N146" s="38"/>
      <x:c r="O146" s="38"/>
      <x:c r="P146" s="38"/>
    </x:row>
    <x:row r="147" ht="32" customHeight="1">
      <x:c r="A147" s="38"/>
      <x:c r="B147" s="41"/>
      <x:c r="C147" s="38"/>
      <x:c r="D147" s="38"/>
      <x:c r="E147" s="38"/>
      <x:c r="F147" s="38"/>
      <x:c r="G147" s="38"/>
      <x:c r="H147" s="40"/>
      <x:c r="I147" s="40"/>
      <x:c r="J147" s="40"/>
      <x:c r="K147" s="40"/>
      <x:c r="L147" s="38"/>
      <x:c r="M147" s="38"/>
      <x:c r="N147" s="38"/>
      <x:c r="O147" s="38"/>
      <x:c r="P147" s="38"/>
    </x:row>
    <x:row r="148" ht="32" customHeight="1">
      <x:c r="A148" s="38"/>
      <x:c r="B148" s="41"/>
      <x:c r="C148" s="38"/>
      <x:c r="D148" s="38"/>
      <x:c r="E148" s="38"/>
      <x:c r="F148" s="38"/>
      <x:c r="G148" s="38"/>
      <x:c r="H148" s="40"/>
      <x:c r="I148" s="40"/>
      <x:c r="J148" s="40"/>
      <x:c r="K148" s="40"/>
      <x:c r="L148" s="38"/>
      <x:c r="M148" s="38"/>
      <x:c r="N148" s="38"/>
      <x:c r="O148" s="38"/>
      <x:c r="P148" s="38"/>
    </x:row>
    <x:row r="149" ht="32" customHeight="1">
      <x:c r="A149" s="38"/>
      <x:c r="B149" s="41"/>
      <x:c r="C149" s="38"/>
      <x:c r="D149" s="38"/>
      <x:c r="E149" s="38"/>
      <x:c r="F149" s="38"/>
      <x:c r="G149" s="38"/>
      <x:c r="H149" s="40"/>
      <x:c r="I149" s="40"/>
      <x:c r="J149" s="40"/>
      <x:c r="K149" s="40"/>
      <x:c r="L149" s="38"/>
      <x:c r="M149" s="38"/>
      <x:c r="N149" s="38"/>
      <x:c r="O149" s="38"/>
      <x:c r="P149" s="38"/>
    </x:row>
    <x:row r="150" ht="32" customHeight="1">
      <x:c r="A150" s="38"/>
      <x:c r="B150" s="41"/>
      <x:c r="C150" s="38"/>
      <x:c r="D150" s="38"/>
      <x:c r="E150" s="38"/>
      <x:c r="F150" s="38"/>
      <x:c r="G150" s="38"/>
      <x:c r="H150" s="40"/>
      <x:c r="I150" s="40"/>
      <x:c r="J150" s="40"/>
      <x:c r="K150" s="40"/>
      <x:c r="L150" s="38"/>
      <x:c r="M150" s="38"/>
      <x:c r="N150" s="38"/>
      <x:c r="O150" s="38"/>
      <x:c r="P150" s="38"/>
    </x:row>
    <x:row r="151" ht="32" customHeight="1">
      <x:c r="A151" s="38"/>
      <x:c r="B151" s="41"/>
      <x:c r="C151" s="38"/>
      <x:c r="D151" s="38"/>
      <x:c r="E151" s="38"/>
      <x:c r="F151" s="38"/>
      <x:c r="G151" s="38"/>
      <x:c r="H151" s="40"/>
      <x:c r="I151" s="40"/>
      <x:c r="J151" s="40"/>
      <x:c r="K151" s="40"/>
      <x:c r="L151" s="38"/>
      <x:c r="M151" s="38"/>
      <x:c r="N151" s="38"/>
      <x:c r="O151" s="38"/>
      <x:c r="P151" s="38"/>
    </x:row>
    <x:row r="152" ht="32" customHeight="1">
      <x:c r="A152" s="38"/>
      <x:c r="B152" s="41"/>
      <x:c r="C152" s="38"/>
      <x:c r="D152" s="38"/>
      <x:c r="E152" s="38"/>
      <x:c r="F152" s="38"/>
      <x:c r="G152" s="38"/>
      <x:c r="H152" s="40"/>
      <x:c r="I152" s="40"/>
      <x:c r="J152" s="40"/>
      <x:c r="K152" s="40"/>
      <x:c r="L152" s="38"/>
      <x:c r="M152" s="38"/>
      <x:c r="N152" s="38"/>
      <x:c r="O152" s="38"/>
      <x:c r="P152" s="38"/>
    </x:row>
    <x:row r="153" ht="32" customHeight="1">
      <x:c r="A153" s="38"/>
      <x:c r="B153" s="41"/>
      <x:c r="C153" s="38"/>
      <x:c r="D153" s="38"/>
      <x:c r="E153" s="38"/>
      <x:c r="F153" s="38"/>
      <x:c r="G153" s="38"/>
      <x:c r="H153" s="40"/>
      <x:c r="I153" s="40"/>
      <x:c r="J153" s="40"/>
      <x:c r="K153" s="40"/>
      <x:c r="L153" s="38"/>
      <x:c r="M153" s="38"/>
      <x:c r="N153" s="38"/>
      <x:c r="O153" s="38"/>
      <x:c r="P153" s="38"/>
    </x:row>
    <x:row r="154" ht="32" customHeight="1">
      <x:c r="A154" s="38"/>
      <x:c r="B154" s="41"/>
      <x:c r="C154" s="38"/>
      <x:c r="D154" s="38"/>
      <x:c r="E154" s="38"/>
      <x:c r="F154" s="38"/>
      <x:c r="G154" s="38"/>
      <x:c r="H154" s="40"/>
      <x:c r="I154" s="40"/>
      <x:c r="J154" s="40"/>
      <x:c r="K154" s="40"/>
      <x:c r="L154" s="38"/>
      <x:c r="M154" s="38"/>
      <x:c r="N154" s="38"/>
      <x:c r="O154" s="38"/>
      <x:c r="P154" s="38"/>
    </x:row>
    <x:row r="155" ht="32" customHeight="1">
      <x:c r="A155" s="38"/>
      <x:c r="B155" s="41"/>
      <x:c r="C155" s="38"/>
      <x:c r="D155" s="38"/>
      <x:c r="E155" s="38"/>
      <x:c r="F155" s="38"/>
      <x:c r="G155" s="38"/>
      <x:c r="H155" s="40"/>
      <x:c r="I155" s="40"/>
      <x:c r="J155" s="40"/>
      <x:c r="K155" s="40"/>
      <x:c r="L155" s="38"/>
      <x:c r="M155" s="38"/>
      <x:c r="N155" s="38"/>
      <x:c r="O155" s="38"/>
      <x:c r="P155" s="38"/>
    </x:row>
    <x:row r="156" ht="32" customHeight="1">
      <x:c r="A156" s="38"/>
      <x:c r="B156" s="41"/>
      <x:c r="C156" s="38"/>
      <x:c r="D156" s="38"/>
      <x:c r="E156" s="38"/>
      <x:c r="F156" s="38"/>
      <x:c r="G156" s="38"/>
      <x:c r="H156" s="40"/>
      <x:c r="I156" s="40"/>
      <x:c r="J156" s="40"/>
      <x:c r="K156" s="40"/>
      <x:c r="L156" s="38"/>
      <x:c r="M156" s="38"/>
      <x:c r="N156" s="38"/>
      <x:c r="O156" s="38"/>
      <x:c r="P156" s="38"/>
    </x:row>
    <x:row r="157" ht="32" customHeight="1">
      <x:c r="A157" s="38"/>
      <x:c r="B157" s="41"/>
      <x:c r="C157" s="38"/>
      <x:c r="D157" s="38"/>
      <x:c r="E157" s="38"/>
      <x:c r="F157" s="38"/>
      <x:c r="G157" s="38"/>
      <x:c r="H157" s="40"/>
      <x:c r="I157" s="40"/>
      <x:c r="J157" s="40"/>
      <x:c r="K157" s="40"/>
      <x:c r="L157" s="38"/>
      <x:c r="M157" s="38"/>
      <x:c r="N157" s="38"/>
      <x:c r="O157" s="38"/>
      <x:c r="P157" s="38"/>
    </x:row>
    <x:row r="158" ht="32" customHeight="1">
      <x:c r="A158" s="38"/>
      <x:c r="B158" s="41"/>
      <x:c r="C158" s="38"/>
      <x:c r="D158" s="38"/>
      <x:c r="E158" s="38"/>
      <x:c r="F158" s="38"/>
      <x:c r="G158" s="38"/>
      <x:c r="H158" s="40"/>
      <x:c r="I158" s="40"/>
      <x:c r="J158" s="40"/>
      <x:c r="K158" s="40"/>
      <x:c r="L158" s="38"/>
      <x:c r="M158" s="38"/>
      <x:c r="N158" s="38"/>
      <x:c r="O158" s="38"/>
      <x:c r="P158" s="38"/>
    </x:row>
    <x:row r="159" ht="32" customHeight="1">
      <x:c r="A159" s="38"/>
      <x:c r="B159" s="41"/>
      <x:c r="C159" s="38"/>
      <x:c r="D159" s="38"/>
      <x:c r="E159" s="38"/>
      <x:c r="F159" s="38"/>
      <x:c r="G159" s="38"/>
      <x:c r="H159" s="40"/>
      <x:c r="I159" s="40"/>
      <x:c r="J159" s="40"/>
      <x:c r="K159" s="40"/>
      <x:c r="L159" s="38"/>
      <x:c r="M159" s="38"/>
      <x:c r="N159" s="38"/>
      <x:c r="O159" s="38"/>
      <x:c r="P159" s="38"/>
    </x:row>
    <x:row r="160" ht="32" customHeight="1">
      <x:c r="A160" s="38"/>
      <x:c r="B160" s="41"/>
      <x:c r="C160" s="38"/>
      <x:c r="D160" s="38"/>
      <x:c r="E160" s="38"/>
      <x:c r="F160" s="38"/>
      <x:c r="G160" s="38"/>
      <x:c r="H160" s="40"/>
      <x:c r="I160" s="40"/>
      <x:c r="J160" s="40"/>
      <x:c r="K160" s="40"/>
      <x:c r="L160" s="38"/>
      <x:c r="M160" s="38"/>
      <x:c r="N160" s="38"/>
      <x:c r="O160" s="38"/>
      <x:c r="P160" s="38"/>
    </x:row>
    <x:row r="161" ht="32" customHeight="1">
      <x:c r="A161" s="38"/>
      <x:c r="B161" s="41"/>
      <x:c r="C161" s="38"/>
      <x:c r="D161" s="38"/>
      <x:c r="E161" s="38"/>
      <x:c r="F161" s="38"/>
      <x:c r="G161" s="38"/>
      <x:c r="H161" s="40"/>
      <x:c r="I161" s="40"/>
      <x:c r="J161" s="40"/>
      <x:c r="K161" s="40"/>
      <x:c r="L161" s="38"/>
      <x:c r="M161" s="38"/>
      <x:c r="N161" s="38"/>
      <x:c r="O161" s="38"/>
      <x:c r="P161" s="38"/>
    </x:row>
    <x:row r="162" ht="32" customHeight="1">
      <x:c r="A162" s="38"/>
      <x:c r="B162" s="41"/>
      <x:c r="C162" s="38"/>
      <x:c r="D162" s="38"/>
      <x:c r="E162" s="38"/>
      <x:c r="F162" s="38"/>
      <x:c r="G162" s="38"/>
      <x:c r="H162" s="40"/>
      <x:c r="I162" s="40"/>
      <x:c r="J162" s="40"/>
      <x:c r="K162" s="40"/>
      <x:c r="L162" s="38"/>
      <x:c r="M162" s="38"/>
      <x:c r="N162" s="38"/>
      <x:c r="O162" s="38"/>
      <x:c r="P162" s="38"/>
    </x:row>
    <x:row r="163" ht="32" customHeight="1">
      <x:c r="A163" s="38"/>
      <x:c r="B163" s="41"/>
      <x:c r="C163" s="38"/>
      <x:c r="D163" s="38"/>
      <x:c r="E163" s="38"/>
      <x:c r="F163" s="38"/>
      <x:c r="G163" s="38"/>
      <x:c r="H163" s="40"/>
      <x:c r="I163" s="40"/>
      <x:c r="J163" s="40"/>
      <x:c r="K163" s="40"/>
      <x:c r="L163" s="38"/>
      <x:c r="M163" s="38"/>
      <x:c r="N163" s="38"/>
      <x:c r="O163" s="38"/>
      <x:c r="P163" s="38"/>
    </x:row>
    <x:row r="164" ht="32" customHeight="1">
      <x:c r="A164" s="38"/>
      <x:c r="B164" s="41"/>
      <x:c r="C164" s="38"/>
      <x:c r="D164" s="38"/>
      <x:c r="E164" s="38"/>
      <x:c r="F164" s="38"/>
      <x:c r="G164" s="38"/>
      <x:c r="H164" s="40"/>
      <x:c r="I164" s="40"/>
      <x:c r="J164" s="40"/>
      <x:c r="K164" s="40"/>
      <x:c r="L164" s="38"/>
      <x:c r="M164" s="38"/>
      <x:c r="N164" s="38"/>
      <x:c r="O164" s="38"/>
      <x:c r="P164" s="38"/>
    </x:row>
    <x:row r="165" ht="32" customHeight="1">
      <x:c r="A165" s="38"/>
      <x:c r="B165" s="41"/>
      <x:c r="C165" s="38"/>
      <x:c r="D165" s="38"/>
      <x:c r="E165" s="38"/>
      <x:c r="F165" s="38"/>
      <x:c r="G165" s="38"/>
      <x:c r="H165" s="40"/>
      <x:c r="I165" s="40"/>
      <x:c r="J165" s="40"/>
      <x:c r="K165" s="40"/>
      <x:c r="L165" s="38"/>
      <x:c r="M165" s="38"/>
      <x:c r="N165" s="38"/>
      <x:c r="O165" s="38"/>
      <x:c r="P165" s="38"/>
    </x:row>
    <x:row r="166" ht="32" customHeight="1">
      <x:c r="A166" s="38"/>
      <x:c r="B166" s="41"/>
      <x:c r="C166" s="38"/>
      <x:c r="D166" s="38"/>
      <x:c r="E166" s="38"/>
      <x:c r="F166" s="38"/>
      <x:c r="G166" s="38"/>
      <x:c r="H166" s="40"/>
      <x:c r="I166" s="40"/>
      <x:c r="J166" s="40"/>
      <x:c r="K166" s="40"/>
      <x:c r="L166" s="38"/>
      <x:c r="M166" s="38"/>
      <x:c r="N166" s="38"/>
      <x:c r="O166" s="38"/>
      <x:c r="P166" s="38"/>
    </x:row>
    <x:row r="167" ht="32" customHeight="1">
      <x:c r="A167" s="38"/>
      <x:c r="B167" s="41"/>
      <x:c r="C167" s="38"/>
      <x:c r="D167" s="38"/>
      <x:c r="E167" s="38"/>
      <x:c r="F167" s="38"/>
      <x:c r="G167" s="38"/>
      <x:c r="H167" s="40"/>
      <x:c r="I167" s="40"/>
      <x:c r="J167" s="40"/>
      <x:c r="K167" s="40"/>
      <x:c r="L167" s="38"/>
      <x:c r="M167" s="38"/>
      <x:c r="N167" s="38"/>
      <x:c r="O167" s="38"/>
      <x:c r="P167" s="38"/>
    </x:row>
    <x:row r="168" ht="32" customHeight="1">
      <x:c r="A168" s="38"/>
      <x:c r="B168" s="41"/>
      <x:c r="C168" s="38"/>
      <x:c r="D168" s="38"/>
      <x:c r="E168" s="38"/>
      <x:c r="F168" s="38"/>
      <x:c r="G168" s="38"/>
      <x:c r="H168" s="40"/>
      <x:c r="I168" s="40"/>
      <x:c r="J168" s="40"/>
      <x:c r="K168" s="40"/>
      <x:c r="L168" s="38"/>
      <x:c r="M168" s="38"/>
      <x:c r="N168" s="38"/>
      <x:c r="O168" s="38"/>
      <x:c r="P168" s="38"/>
    </x:row>
    <x:row r="169" ht="32" customHeight="1">
      <x:c r="A169" s="38"/>
      <x:c r="B169" s="41"/>
      <x:c r="C169" s="38"/>
      <x:c r="D169" s="38"/>
      <x:c r="E169" s="38"/>
      <x:c r="F169" s="38"/>
      <x:c r="G169" s="38"/>
      <x:c r="H169" s="40"/>
      <x:c r="I169" s="40"/>
      <x:c r="J169" s="40"/>
      <x:c r="K169" s="40"/>
      <x:c r="L169" s="38"/>
      <x:c r="M169" s="38"/>
      <x:c r="N169" s="38"/>
      <x:c r="O169" s="38"/>
      <x:c r="P169" s="38"/>
    </x:row>
    <x:row r="170" ht="32" customHeight="1">
      <x:c r="A170" s="38"/>
      <x:c r="B170" s="41"/>
      <x:c r="C170" s="38"/>
      <x:c r="D170" s="38"/>
      <x:c r="E170" s="38"/>
      <x:c r="F170" s="38"/>
      <x:c r="G170" s="38"/>
      <x:c r="H170" s="40"/>
      <x:c r="I170" s="40"/>
      <x:c r="J170" s="40"/>
      <x:c r="K170" s="40"/>
      <x:c r="L170" s="38"/>
      <x:c r="M170" s="38"/>
      <x:c r="N170" s="38"/>
      <x:c r="O170" s="38"/>
      <x:c r="P170" s="38"/>
    </x:row>
    <x:row r="171" ht="32" customHeight="1">
      <x:c r="A171" s="38"/>
      <x:c r="B171" s="41"/>
      <x:c r="C171" s="38"/>
      <x:c r="D171" s="38"/>
      <x:c r="E171" s="38"/>
      <x:c r="F171" s="38"/>
      <x:c r="G171" s="38"/>
      <x:c r="H171" s="40"/>
      <x:c r="I171" s="40"/>
      <x:c r="J171" s="40"/>
      <x:c r="K171" s="40"/>
      <x:c r="L171" s="38"/>
      <x:c r="M171" s="38"/>
      <x:c r="N171" s="38"/>
      <x:c r="O171" s="38"/>
      <x:c r="P171" s="38"/>
    </x:row>
    <x:row r="172" ht="32" customHeight="1">
      <x:c r="A172" s="38"/>
      <x:c r="B172" s="41"/>
      <x:c r="C172" s="38"/>
      <x:c r="D172" s="38"/>
      <x:c r="E172" s="38"/>
      <x:c r="F172" s="38"/>
      <x:c r="G172" s="38"/>
      <x:c r="H172" s="40"/>
      <x:c r="I172" s="40"/>
      <x:c r="J172" s="40"/>
      <x:c r="K172" s="40"/>
      <x:c r="L172" s="38"/>
      <x:c r="M172" s="38"/>
      <x:c r="N172" s="38"/>
      <x:c r="O172" s="38"/>
      <x:c r="P172" s="38"/>
    </x:row>
    <x:row r="173" ht="32" customHeight="1">
      <x:c r="A173" s="38"/>
      <x:c r="B173" s="41"/>
      <x:c r="C173" s="38"/>
      <x:c r="D173" s="38"/>
      <x:c r="E173" s="38"/>
      <x:c r="F173" s="38"/>
      <x:c r="G173" s="38"/>
      <x:c r="H173" s="40"/>
      <x:c r="I173" s="40"/>
      <x:c r="J173" s="40"/>
      <x:c r="K173" s="40"/>
      <x:c r="L173" s="38"/>
      <x:c r="M173" s="38"/>
      <x:c r="N173" s="38"/>
      <x:c r="O173" s="38"/>
      <x:c r="P173" s="38"/>
    </x:row>
    <x:row r="174" ht="32" customHeight="1">
      <x:c r="A174" s="38"/>
      <x:c r="B174" s="41"/>
      <x:c r="C174" s="38"/>
      <x:c r="D174" s="38"/>
      <x:c r="E174" s="38"/>
      <x:c r="F174" s="38"/>
      <x:c r="G174" s="38"/>
      <x:c r="H174" s="40"/>
      <x:c r="I174" s="40"/>
      <x:c r="J174" s="40"/>
      <x:c r="K174" s="40"/>
      <x:c r="L174" s="38"/>
      <x:c r="M174" s="38"/>
      <x:c r="N174" s="38"/>
      <x:c r="O174" s="38"/>
      <x:c r="P174" s="38"/>
    </x:row>
    <x:row r="175" ht="32" customHeight="1">
      <x:c r="A175" s="38"/>
      <x:c r="B175" s="41"/>
      <x:c r="C175" s="38"/>
      <x:c r="D175" s="38"/>
      <x:c r="E175" s="38"/>
      <x:c r="F175" s="38"/>
      <x:c r="G175" s="38"/>
      <x:c r="H175" s="40"/>
      <x:c r="I175" s="40"/>
      <x:c r="J175" s="40"/>
      <x:c r="K175" s="40"/>
      <x:c r="L175" s="38"/>
      <x:c r="M175" s="38"/>
      <x:c r="N175" s="38"/>
      <x:c r="O175" s="38"/>
      <x:c r="P175" s="38"/>
    </x:row>
    <x:row r="176" ht="32" customHeight="1">
      <x:c r="A176" s="38"/>
      <x:c r="B176" s="41"/>
      <x:c r="C176" s="38"/>
      <x:c r="D176" s="38"/>
      <x:c r="E176" s="38"/>
      <x:c r="F176" s="38"/>
      <x:c r="G176" s="38"/>
      <x:c r="H176" s="40"/>
      <x:c r="I176" s="40"/>
      <x:c r="J176" s="40"/>
      <x:c r="K176" s="40"/>
      <x:c r="L176" s="38"/>
      <x:c r="M176" s="38"/>
      <x:c r="N176" s="38"/>
      <x:c r="O176" s="38"/>
      <x:c r="P176" s="38"/>
    </x:row>
    <x:row r="177" ht="32" customHeight="1">
      <x:c r="A177" s="38"/>
      <x:c r="B177" s="41"/>
      <x:c r="C177" s="38"/>
      <x:c r="D177" s="38"/>
      <x:c r="E177" s="38"/>
      <x:c r="F177" s="38"/>
      <x:c r="G177" s="38"/>
      <x:c r="H177" s="40"/>
      <x:c r="I177" s="40"/>
      <x:c r="J177" s="40"/>
      <x:c r="K177" s="40"/>
      <x:c r="L177" s="38"/>
      <x:c r="M177" s="38"/>
      <x:c r="N177" s="38"/>
      <x:c r="O177" s="38"/>
      <x:c r="P177" s="38"/>
    </x:row>
    <x:row r="178" ht="32" customHeight="1">
      <x:c r="A178" s="38"/>
      <x:c r="B178" s="41"/>
      <x:c r="C178" s="38"/>
      <x:c r="D178" s="38"/>
      <x:c r="E178" s="38"/>
      <x:c r="F178" s="38"/>
      <x:c r="G178" s="38"/>
      <x:c r="H178" s="40"/>
      <x:c r="I178" s="40"/>
      <x:c r="J178" s="40"/>
      <x:c r="K178" s="40"/>
      <x:c r="L178" s="38"/>
      <x:c r="M178" s="38"/>
      <x:c r="N178" s="38"/>
      <x:c r="O178" s="38"/>
      <x:c r="P178" s="38"/>
    </x:row>
    <x:row r="179" ht="32" customHeight="1">
      <x:c r="A179" s="38"/>
      <x:c r="B179" s="41"/>
      <x:c r="C179" s="38"/>
      <x:c r="D179" s="38"/>
      <x:c r="E179" s="38"/>
      <x:c r="F179" s="38"/>
      <x:c r="G179" s="38"/>
      <x:c r="H179" s="40"/>
      <x:c r="I179" s="40"/>
      <x:c r="J179" s="40"/>
      <x:c r="K179" s="40"/>
      <x:c r="L179" s="38"/>
      <x:c r="M179" s="38"/>
      <x:c r="N179" s="38"/>
      <x:c r="O179" s="38"/>
      <x:c r="P179" s="38"/>
    </x:row>
    <x:row r="180" ht="32" customHeight="1">
      <x:c r="A180" s="38"/>
      <x:c r="B180" s="41"/>
      <x:c r="C180" s="38"/>
      <x:c r="D180" s="38"/>
      <x:c r="E180" s="38"/>
      <x:c r="F180" s="38"/>
      <x:c r="G180" s="38"/>
      <x:c r="H180" s="40"/>
      <x:c r="I180" s="40"/>
      <x:c r="J180" s="40"/>
      <x:c r="K180" s="40"/>
      <x:c r="L180" s="38"/>
      <x:c r="M180" s="38"/>
      <x:c r="N180" s="38"/>
      <x:c r="O180" s="38"/>
      <x:c r="P180" s="38"/>
    </x:row>
    <x:row r="181" ht="32" customHeight="1">
      <x:c r="A181" s="38"/>
      <x:c r="B181" s="41"/>
      <x:c r="C181" s="38"/>
      <x:c r="D181" s="38"/>
      <x:c r="E181" s="38"/>
      <x:c r="F181" s="38"/>
      <x:c r="G181" s="38"/>
      <x:c r="H181" s="40"/>
      <x:c r="I181" s="40"/>
      <x:c r="J181" s="40"/>
      <x:c r="K181" s="40"/>
      <x:c r="L181" s="38"/>
      <x:c r="M181" s="38"/>
      <x:c r="N181" s="38"/>
      <x:c r="O181" s="38"/>
      <x:c r="P181" s="38"/>
    </x:row>
    <x:row r="182" ht="32" customHeight="1">
      <x:c r="A182" s="38"/>
      <x:c r="B182" s="41"/>
      <x:c r="C182" s="38"/>
      <x:c r="D182" s="38"/>
      <x:c r="E182" s="38"/>
      <x:c r="F182" s="38"/>
      <x:c r="G182" s="38"/>
      <x:c r="H182" s="40"/>
      <x:c r="I182" s="40"/>
      <x:c r="J182" s="40"/>
      <x:c r="K182" s="40"/>
      <x:c r="L182" s="38"/>
      <x:c r="M182" s="38"/>
      <x:c r="N182" s="38"/>
      <x:c r="O182" s="38"/>
      <x:c r="P182" s="38"/>
    </x:row>
    <x:row r="183" ht="32" customHeight="1">
      <x:c r="A183" s="38"/>
      <x:c r="B183" s="41"/>
      <x:c r="C183" s="38"/>
      <x:c r="D183" s="38"/>
      <x:c r="E183" s="38"/>
      <x:c r="F183" s="38"/>
      <x:c r="G183" s="38"/>
      <x:c r="H183" s="40"/>
      <x:c r="I183" s="40"/>
      <x:c r="J183" s="40"/>
      <x:c r="K183" s="40"/>
      <x:c r="L183" s="38"/>
      <x:c r="M183" s="38"/>
      <x:c r="N183" s="38"/>
      <x:c r="O183" s="38"/>
      <x:c r="P183" s="38"/>
    </x:row>
    <x:row r="184" ht="32" customHeight="1">
      <x:c r="A184" s="38"/>
      <x:c r="B184" s="41"/>
      <x:c r="C184" s="38"/>
      <x:c r="D184" s="38"/>
      <x:c r="E184" s="38"/>
      <x:c r="F184" s="38"/>
      <x:c r="G184" s="38"/>
      <x:c r="H184" s="40"/>
      <x:c r="I184" s="40"/>
      <x:c r="J184" s="40"/>
      <x:c r="K184" s="40"/>
      <x:c r="L184" s="38"/>
      <x:c r="M184" s="38"/>
      <x:c r="N184" s="38"/>
      <x:c r="O184" s="38"/>
      <x:c r="P184" s="38"/>
    </x:row>
    <x:row r="185" ht="32" customHeight="1">
      <x:c r="A185" s="38"/>
      <x:c r="B185" s="41"/>
      <x:c r="C185" s="38"/>
      <x:c r="D185" s="38"/>
      <x:c r="E185" s="38"/>
      <x:c r="F185" s="38"/>
      <x:c r="G185" s="38"/>
      <x:c r="H185" s="40"/>
      <x:c r="I185" s="40"/>
      <x:c r="J185" s="40"/>
      <x:c r="K185" s="40"/>
      <x:c r="L185" s="38"/>
      <x:c r="M185" s="38"/>
      <x:c r="N185" s="38"/>
      <x:c r="O185" s="38"/>
      <x:c r="P185" s="38"/>
    </x:row>
    <x:row r="186" ht="32" customHeight="1">
      <x:c r="A186" s="38"/>
      <x:c r="B186" s="41"/>
      <x:c r="C186" s="38"/>
      <x:c r="D186" s="38"/>
      <x:c r="E186" s="38"/>
      <x:c r="F186" s="38"/>
      <x:c r="G186" s="38"/>
      <x:c r="H186" s="40"/>
      <x:c r="I186" s="40"/>
      <x:c r="J186" s="40"/>
      <x:c r="K186" s="40"/>
      <x:c r="L186" s="38"/>
      <x:c r="M186" s="38"/>
      <x:c r="N186" s="38"/>
      <x:c r="O186" s="38"/>
      <x:c r="P186" s="38"/>
    </x:row>
    <x:row r="187" ht="32" customHeight="1">
      <x:c r="A187" s="38"/>
      <x:c r="B187" s="41"/>
      <x:c r="C187" s="38"/>
      <x:c r="D187" s="38"/>
      <x:c r="E187" s="38"/>
      <x:c r="F187" s="38"/>
      <x:c r="G187" s="38"/>
      <x:c r="H187" s="40"/>
      <x:c r="I187" s="40"/>
      <x:c r="J187" s="40"/>
      <x:c r="K187" s="40"/>
      <x:c r="L187" s="38"/>
      <x:c r="M187" s="38"/>
      <x:c r="N187" s="38"/>
      <x:c r="O187" s="38"/>
      <x:c r="P187" s="38"/>
    </x:row>
    <x:row r="188" ht="32" customHeight="1">
      <x:c r="A188" s="38"/>
      <x:c r="B188" s="41"/>
      <x:c r="C188" s="38"/>
      <x:c r="D188" s="38"/>
      <x:c r="E188" s="38"/>
      <x:c r="F188" s="38"/>
      <x:c r="G188" s="38"/>
      <x:c r="H188" s="40"/>
      <x:c r="I188" s="40"/>
      <x:c r="J188" s="40"/>
      <x:c r="K188" s="40"/>
      <x:c r="L188" s="38"/>
      <x:c r="M188" s="38"/>
      <x:c r="N188" s="38"/>
      <x:c r="O188" s="38"/>
      <x:c r="P188" s="38"/>
    </x:row>
    <x:row r="189" ht="32" customHeight="1">
      <x:c r="A189" s="38"/>
      <x:c r="B189" s="41"/>
      <x:c r="C189" s="38"/>
      <x:c r="D189" s="38"/>
      <x:c r="E189" s="38"/>
      <x:c r="F189" s="38"/>
      <x:c r="G189" s="38"/>
      <x:c r="H189" s="40"/>
      <x:c r="I189" s="40"/>
      <x:c r="J189" s="40"/>
      <x:c r="K189" s="40"/>
      <x:c r="L189" s="38"/>
      <x:c r="M189" s="38"/>
      <x:c r="N189" s="38"/>
      <x:c r="O189" s="38"/>
      <x:c r="P189" s="38"/>
    </x:row>
    <x:row r="190" ht="32" customHeight="1">
      <x:c r="A190" s="38"/>
      <x:c r="B190" s="41"/>
      <x:c r="C190" s="38"/>
      <x:c r="D190" s="38"/>
      <x:c r="E190" s="38"/>
      <x:c r="F190" s="38"/>
      <x:c r="G190" s="38"/>
      <x:c r="H190" s="40"/>
      <x:c r="I190" s="40"/>
      <x:c r="J190" s="40"/>
      <x:c r="K190" s="40"/>
      <x:c r="L190" s="38"/>
      <x:c r="M190" s="38"/>
      <x:c r="N190" s="38"/>
      <x:c r="O190" s="38"/>
      <x:c r="P190" s="38"/>
    </x:row>
    <x:row r="191" ht="32" customHeight="1">
      <x:c r="A191" s="38"/>
      <x:c r="B191" s="41"/>
      <x:c r="C191" s="38"/>
      <x:c r="D191" s="38"/>
      <x:c r="E191" s="38"/>
      <x:c r="F191" s="38"/>
      <x:c r="G191" s="38"/>
      <x:c r="H191" s="40"/>
      <x:c r="I191" s="40"/>
      <x:c r="J191" s="40"/>
      <x:c r="K191" s="40"/>
      <x:c r="L191" s="38"/>
      <x:c r="M191" s="38"/>
      <x:c r="N191" s="38"/>
      <x:c r="O191" s="38"/>
      <x:c r="P191" s="38"/>
    </x:row>
    <x:row r="192" ht="32" customHeight="1">
      <x:c r="A192" s="38"/>
      <x:c r="B192" s="41"/>
      <x:c r="C192" s="38"/>
      <x:c r="D192" s="38"/>
      <x:c r="E192" s="38"/>
      <x:c r="F192" s="38"/>
      <x:c r="G192" s="38"/>
      <x:c r="H192" s="40"/>
      <x:c r="I192" s="40"/>
      <x:c r="J192" s="40"/>
      <x:c r="K192" s="40"/>
      <x:c r="L192" s="38"/>
      <x:c r="M192" s="38"/>
      <x:c r="N192" s="38"/>
      <x:c r="O192" s="38"/>
      <x:c r="P192" s="38"/>
    </x:row>
    <x:row r="193" ht="32" customHeight="1">
      <x:c r="A193" s="38"/>
      <x:c r="B193" s="41"/>
      <x:c r="C193" s="38"/>
      <x:c r="D193" s="38"/>
      <x:c r="E193" s="38"/>
      <x:c r="F193" s="38"/>
      <x:c r="G193" s="38"/>
      <x:c r="H193" s="40"/>
      <x:c r="I193" s="40"/>
      <x:c r="J193" s="40"/>
      <x:c r="K193" s="40"/>
      <x:c r="L193" s="38"/>
      <x:c r="M193" s="38"/>
      <x:c r="N193" s="38"/>
      <x:c r="O193" s="38"/>
      <x:c r="P193" s="38"/>
    </x:row>
    <x:row r="194" ht="32" customHeight="1">
      <x:c r="A194" s="38"/>
      <x:c r="B194" s="41"/>
      <x:c r="C194" s="38"/>
      <x:c r="D194" s="38"/>
      <x:c r="E194" s="38"/>
      <x:c r="F194" s="38"/>
      <x:c r="G194" s="38"/>
      <x:c r="H194" s="40"/>
      <x:c r="I194" s="40"/>
      <x:c r="J194" s="40"/>
      <x:c r="K194" s="40"/>
      <x:c r="L194" s="38"/>
      <x:c r="M194" s="38"/>
      <x:c r="N194" s="38"/>
      <x:c r="O194" s="38"/>
      <x:c r="P194" s="38"/>
    </x:row>
    <x:row r="195" ht="32" customHeight="1">
      <x:c r="A195" s="38"/>
      <x:c r="B195" s="41"/>
      <x:c r="C195" s="38"/>
      <x:c r="D195" s="38"/>
      <x:c r="E195" s="38"/>
      <x:c r="F195" s="38"/>
      <x:c r="G195" s="38"/>
      <x:c r="H195" s="40"/>
      <x:c r="I195" s="40"/>
      <x:c r="J195" s="40"/>
      <x:c r="K195" s="40"/>
      <x:c r="L195" s="38"/>
      <x:c r="M195" s="38"/>
      <x:c r="N195" s="38"/>
      <x:c r="O195" s="38"/>
      <x:c r="P195" s="38"/>
    </x:row>
    <x:row r="196" ht="32" customHeight="1">
      <x:c r="A196" s="38"/>
      <x:c r="B196" s="41"/>
      <x:c r="C196" s="38"/>
      <x:c r="D196" s="38"/>
      <x:c r="E196" s="38"/>
      <x:c r="F196" s="38"/>
      <x:c r="G196" s="38"/>
      <x:c r="H196" s="40"/>
      <x:c r="I196" s="40"/>
      <x:c r="J196" s="40"/>
      <x:c r="K196" s="40"/>
      <x:c r="L196" s="38"/>
      <x:c r="M196" s="38"/>
      <x:c r="N196" s="38"/>
      <x:c r="O196" s="38"/>
      <x:c r="P196" s="38"/>
    </x:row>
    <x:row r="197" ht="32" customHeight="1">
      <x:c r="A197" s="38"/>
      <x:c r="B197" s="41"/>
      <x:c r="C197" s="38"/>
      <x:c r="D197" s="38"/>
      <x:c r="E197" s="38"/>
      <x:c r="F197" s="38"/>
      <x:c r="G197" s="38"/>
      <x:c r="H197" s="40"/>
      <x:c r="I197" s="40"/>
      <x:c r="J197" s="40"/>
      <x:c r="K197" s="40"/>
      <x:c r="L197" s="38"/>
      <x:c r="M197" s="38"/>
      <x:c r="N197" s="38"/>
      <x:c r="O197" s="38"/>
      <x:c r="P197" s="38"/>
    </x:row>
    <x:row r="198" ht="32" customHeight="1">
      <x:c r="A198" s="38"/>
      <x:c r="B198" s="41"/>
      <x:c r="C198" s="38"/>
      <x:c r="D198" s="38"/>
      <x:c r="E198" s="38"/>
      <x:c r="F198" s="38"/>
      <x:c r="G198" s="38"/>
      <x:c r="H198" s="40"/>
      <x:c r="I198" s="40"/>
      <x:c r="J198" s="40"/>
      <x:c r="K198" s="40"/>
      <x:c r="L198" s="38"/>
      <x:c r="M198" s="38"/>
      <x:c r="N198" s="38"/>
      <x:c r="O198" s="38"/>
      <x:c r="P198" s="38"/>
    </x:row>
    <x:row r="199" ht="32" customHeight="1">
      <x:c r="A199" s="38"/>
      <x:c r="B199" s="41"/>
      <x:c r="C199" s="38"/>
      <x:c r="D199" s="38"/>
      <x:c r="E199" s="38"/>
      <x:c r="F199" s="38"/>
      <x:c r="G199" s="38"/>
      <x:c r="H199" s="40"/>
      <x:c r="I199" s="40"/>
      <x:c r="J199" s="40"/>
      <x:c r="K199" s="40"/>
      <x:c r="L199" s="38"/>
      <x:c r="M199" s="38"/>
      <x:c r="N199" s="38"/>
      <x:c r="O199" s="38"/>
      <x:c r="P199" s="38"/>
    </x:row>
    <x:row r="200" ht="32" customHeight="1">
      <x:c r="A200" s="38"/>
      <x:c r="B200" s="41"/>
      <x:c r="C200" s="38"/>
      <x:c r="D200" s="38"/>
      <x:c r="E200" s="38"/>
      <x:c r="F200" s="38"/>
      <x:c r="G200" s="38"/>
      <x:c r="H200" s="40"/>
      <x:c r="I200" s="40"/>
      <x:c r="J200" s="40"/>
      <x:c r="K200" s="40"/>
      <x:c r="L200" s="38"/>
      <x:c r="M200" s="38"/>
      <x:c r="N200" s="38"/>
      <x:c r="O200" s="38"/>
      <x:c r="P200" s="38"/>
    </x:row>
    <x:row r="201" ht="32" customHeight="1">
      <x:c r="A201" s="38"/>
      <x:c r="B201" s="41"/>
      <x:c r="C201" s="38"/>
      <x:c r="D201" s="38"/>
      <x:c r="E201" s="38"/>
      <x:c r="F201" s="38"/>
      <x:c r="G201" s="38"/>
      <x:c r="H201" s="40"/>
      <x:c r="I201" s="40"/>
      <x:c r="J201" s="40"/>
      <x:c r="K201" s="40"/>
      <x:c r="L201" s="38"/>
      <x:c r="M201" s="38"/>
      <x:c r="N201" s="38"/>
      <x:c r="O201" s="38"/>
      <x:c r="P201" s="38"/>
    </x:row>
    <x:row r="202" ht="32" customHeight="1">
      <x:c r="A202" s="38"/>
      <x:c r="B202" s="41"/>
      <x:c r="C202" s="38"/>
      <x:c r="D202" s="38"/>
      <x:c r="E202" s="38"/>
      <x:c r="F202" s="38"/>
      <x:c r="G202" s="38"/>
      <x:c r="H202" s="40"/>
      <x:c r="I202" s="40"/>
      <x:c r="J202" s="40"/>
      <x:c r="K202" s="40"/>
      <x:c r="L202" s="38"/>
      <x:c r="M202" s="38"/>
      <x:c r="N202" s="38"/>
      <x:c r="O202" s="38"/>
      <x:c r="P202" s="38"/>
    </x:row>
    <x:row r="203" ht="32" customHeight="1">
      <x:c r="A203" s="38"/>
      <x:c r="B203" s="41"/>
      <x:c r="C203" s="38"/>
      <x:c r="D203" s="38"/>
      <x:c r="E203" s="38"/>
      <x:c r="F203" s="38"/>
      <x:c r="G203" s="38"/>
      <x:c r="H203" s="40"/>
      <x:c r="I203" s="40"/>
      <x:c r="J203" s="40"/>
      <x:c r="K203" s="40"/>
      <x:c r="L203" s="38"/>
      <x:c r="M203" s="38"/>
      <x:c r="N203" s="38"/>
      <x:c r="O203" s="38"/>
      <x:c r="P203" s="38"/>
    </x:row>
    <x:row r="204" ht="32" customHeight="1">
      <x:c r="A204" s="38"/>
      <x:c r="B204" s="41"/>
      <x:c r="C204" s="38"/>
      <x:c r="D204" s="38"/>
      <x:c r="E204" s="38"/>
      <x:c r="F204" s="38"/>
      <x:c r="G204" s="38"/>
      <x:c r="H204" s="40"/>
      <x:c r="I204" s="40"/>
      <x:c r="J204" s="40"/>
      <x:c r="K204" s="40"/>
      <x:c r="L204" s="38"/>
      <x:c r="M204" s="38"/>
      <x:c r="N204" s="38"/>
      <x:c r="O204" s="38"/>
      <x:c r="P204" s="38"/>
    </x:row>
    <x:row r="205" ht="32" customHeight="1">
      <x:c r="A205" s="38"/>
      <x:c r="B205" s="41"/>
      <x:c r="C205" s="38"/>
      <x:c r="D205" s="38"/>
      <x:c r="E205" s="38"/>
      <x:c r="F205" s="38"/>
      <x:c r="G205" s="38"/>
      <x:c r="H205" s="40"/>
      <x:c r="I205" s="40"/>
      <x:c r="J205" s="40"/>
      <x:c r="K205" s="40"/>
      <x:c r="L205" s="38"/>
      <x:c r="M205" s="38"/>
      <x:c r="N205" s="38"/>
      <x:c r="O205" s="38"/>
      <x:c r="P205" s="38"/>
    </x:row>
    <x:row r="206" ht="32" customHeight="1">
      <x:c r="A206" s="38"/>
      <x:c r="B206" s="41"/>
      <x:c r="C206" s="38"/>
      <x:c r="D206" s="38"/>
      <x:c r="E206" s="38"/>
      <x:c r="F206" s="38"/>
      <x:c r="G206" s="38"/>
      <x:c r="H206" s="40"/>
      <x:c r="I206" s="40"/>
      <x:c r="J206" s="40"/>
      <x:c r="K206" s="40"/>
      <x:c r="L206" s="38"/>
      <x:c r="M206" s="38"/>
      <x:c r="N206" s="38"/>
      <x:c r="O206" s="38"/>
      <x:c r="P206" s="38"/>
    </x:row>
    <x:row r="207" ht="32" customHeight="1">
      <x:c r="A207" s="38"/>
      <x:c r="B207" s="41"/>
      <x:c r="C207" s="38"/>
      <x:c r="D207" s="38"/>
      <x:c r="E207" s="38"/>
      <x:c r="F207" s="38"/>
      <x:c r="G207" s="38"/>
      <x:c r="H207" s="40"/>
      <x:c r="I207" s="40"/>
      <x:c r="J207" s="40"/>
      <x:c r="K207" s="40"/>
      <x:c r="L207" s="38"/>
      <x:c r="M207" s="38"/>
      <x:c r="N207" s="38"/>
      <x:c r="O207" s="38"/>
      <x:c r="P207" s="38"/>
    </x:row>
    <x:row r="208" ht="32" customHeight="1">
      <x:c r="A208" s="38"/>
      <x:c r="B208" s="41"/>
      <x:c r="C208" s="38"/>
      <x:c r="D208" s="38"/>
      <x:c r="E208" s="38"/>
      <x:c r="F208" s="38"/>
      <x:c r="G208" s="38"/>
      <x:c r="H208" s="40"/>
      <x:c r="I208" s="40"/>
      <x:c r="J208" s="40"/>
      <x:c r="K208" s="40"/>
      <x:c r="L208" s="38"/>
      <x:c r="M208" s="38"/>
      <x:c r="N208" s="38"/>
      <x:c r="O208" s="38"/>
      <x:c r="P208" s="38"/>
    </x:row>
    <x:row r="209" ht="32" customHeight="1">
      <x:c r="A209" s="38"/>
      <x:c r="B209" s="41"/>
      <x:c r="C209" s="38"/>
      <x:c r="D209" s="38"/>
      <x:c r="E209" s="38"/>
      <x:c r="F209" s="38"/>
      <x:c r="G209" s="38"/>
      <x:c r="H209" s="40"/>
      <x:c r="I209" s="40"/>
      <x:c r="J209" s="40"/>
      <x:c r="K209" s="40"/>
      <x:c r="L209" s="38"/>
      <x:c r="M209" s="38"/>
      <x:c r="N209" s="38"/>
      <x:c r="O209" s="38"/>
      <x:c r="P209" s="38"/>
    </x:row>
    <x:row r="210" ht="32" customHeight="1">
      <x:c r="A210" s="38"/>
      <x:c r="B210" s="41"/>
      <x:c r="C210" s="38"/>
      <x:c r="D210" s="38"/>
      <x:c r="E210" s="38"/>
      <x:c r="F210" s="38"/>
      <x:c r="G210" s="38"/>
      <x:c r="H210" s="40"/>
      <x:c r="I210" s="40"/>
      <x:c r="J210" s="40"/>
      <x:c r="K210" s="40"/>
      <x:c r="L210" s="38"/>
      <x:c r="M210" s="38"/>
      <x:c r="N210" s="38"/>
      <x:c r="O210" s="38"/>
      <x:c r="P210" s="38"/>
    </x:row>
    <x:row r="211" ht="32" customHeight="1">
      <x:c r="A211" s="38"/>
      <x:c r="B211" s="41"/>
      <x:c r="C211" s="38"/>
      <x:c r="D211" s="38"/>
      <x:c r="E211" s="38"/>
      <x:c r="F211" s="38"/>
      <x:c r="G211" s="38"/>
      <x:c r="H211" s="40"/>
      <x:c r="I211" s="40"/>
      <x:c r="J211" s="40"/>
      <x:c r="K211" s="40"/>
      <x:c r="L211" s="38"/>
      <x:c r="M211" s="38"/>
      <x:c r="N211" s="38"/>
      <x:c r="O211" s="38"/>
      <x:c r="P211" s="38"/>
    </x:row>
    <x:row r="212" ht="32" customHeight="1">
      <x:c r="A212" s="38"/>
      <x:c r="B212" s="41"/>
      <x:c r="C212" s="38"/>
      <x:c r="D212" s="38"/>
      <x:c r="E212" s="38"/>
      <x:c r="F212" s="38"/>
      <x:c r="G212" s="38"/>
      <x:c r="H212" s="40"/>
      <x:c r="I212" s="40"/>
      <x:c r="J212" s="40"/>
      <x:c r="K212" s="40"/>
      <x:c r="L212" s="38"/>
      <x:c r="M212" s="38"/>
      <x:c r="N212" s="38"/>
      <x:c r="O212" s="38"/>
      <x:c r="P212" s="38"/>
    </x:row>
    <x:row r="213" ht="32" customHeight="1">
      <x:c r="A213" s="38"/>
      <x:c r="B213" s="41"/>
      <x:c r="C213" s="38"/>
      <x:c r="D213" s="38"/>
      <x:c r="E213" s="38"/>
      <x:c r="F213" s="38"/>
      <x:c r="G213" s="38"/>
      <x:c r="H213" s="40"/>
      <x:c r="I213" s="40"/>
      <x:c r="J213" s="40"/>
      <x:c r="K213" s="40"/>
      <x:c r="L213" s="38"/>
      <x:c r="M213" s="38"/>
      <x:c r="N213" s="38"/>
      <x:c r="O213" s="38"/>
      <x:c r="P213" s="38"/>
    </x:row>
    <x:row r="214" ht="32" customHeight="1">
      <x:c r="A214" s="38"/>
      <x:c r="B214" s="41"/>
      <x:c r="C214" s="38"/>
      <x:c r="D214" s="38"/>
      <x:c r="E214" s="38"/>
      <x:c r="F214" s="38"/>
      <x:c r="G214" s="38"/>
      <x:c r="H214" s="40"/>
      <x:c r="I214" s="40"/>
      <x:c r="J214" s="40"/>
      <x:c r="K214" s="40"/>
      <x:c r="L214" s="38"/>
      <x:c r="M214" s="38"/>
      <x:c r="N214" s="38"/>
      <x:c r="O214" s="38"/>
      <x:c r="P214" s="38"/>
    </x:row>
    <x:row r="215" ht="32" customHeight="1">
      <x:c r="A215" s="38"/>
      <x:c r="B215" s="41"/>
      <x:c r="C215" s="38"/>
      <x:c r="D215" s="38"/>
      <x:c r="E215" s="38"/>
      <x:c r="F215" s="38"/>
      <x:c r="G215" s="38"/>
      <x:c r="H215" s="40"/>
      <x:c r="I215" s="40"/>
      <x:c r="J215" s="40"/>
      <x:c r="K215" s="40"/>
      <x:c r="L215" s="38"/>
      <x:c r="M215" s="38"/>
      <x:c r="N215" s="38"/>
      <x:c r="O215" s="38"/>
      <x:c r="P215" s="38"/>
    </x:row>
    <x:row r="216" ht="32" customHeight="1">
      <x:c r="A216" s="38"/>
      <x:c r="B216" s="41"/>
      <x:c r="C216" s="38"/>
      <x:c r="D216" s="38"/>
      <x:c r="E216" s="38"/>
      <x:c r="F216" s="38"/>
      <x:c r="G216" s="38"/>
      <x:c r="H216" s="40"/>
      <x:c r="I216" s="40"/>
      <x:c r="J216" s="40"/>
      <x:c r="K216" s="40"/>
      <x:c r="L216" s="38"/>
      <x:c r="M216" s="38"/>
      <x:c r="N216" s="38"/>
      <x:c r="O216" s="38"/>
      <x:c r="P216" s="38"/>
    </x:row>
    <x:row r="217" ht="32" customHeight="1">
      <x:c r="A217" s="38"/>
      <x:c r="B217" s="41"/>
      <x:c r="C217" s="38"/>
      <x:c r="D217" s="38"/>
      <x:c r="E217" s="38"/>
      <x:c r="F217" s="38"/>
      <x:c r="G217" s="38"/>
      <x:c r="H217" s="40"/>
      <x:c r="I217" s="40"/>
      <x:c r="J217" s="40"/>
      <x:c r="K217" s="40"/>
      <x:c r="L217" s="38"/>
      <x:c r="M217" s="38"/>
      <x:c r="N217" s="38"/>
      <x:c r="O217" s="38"/>
      <x:c r="P217" s="38"/>
    </x:row>
    <x:row r="218" ht="32" customHeight="1">
      <x:c r="A218" s="38"/>
      <x:c r="B218" s="41"/>
      <x:c r="C218" s="38"/>
      <x:c r="D218" s="38"/>
      <x:c r="E218" s="38"/>
      <x:c r="F218" s="38"/>
      <x:c r="G218" s="38"/>
      <x:c r="H218" s="40"/>
      <x:c r="I218" s="40"/>
      <x:c r="J218" s="40"/>
      <x:c r="K218" s="40"/>
      <x:c r="L218" s="38"/>
      <x:c r="M218" s="38"/>
      <x:c r="N218" s="38"/>
      <x:c r="O218" s="38"/>
      <x:c r="P218" s="38"/>
    </x:row>
    <x:row r="219" ht="32" customHeight="1">
      <x:c r="A219" s="38"/>
      <x:c r="B219" s="41"/>
      <x:c r="C219" s="38"/>
      <x:c r="D219" s="38"/>
      <x:c r="E219" s="38"/>
      <x:c r="F219" s="38"/>
      <x:c r="G219" s="38"/>
      <x:c r="H219" s="40"/>
      <x:c r="I219" s="40"/>
      <x:c r="J219" s="40"/>
      <x:c r="K219" s="40"/>
      <x:c r="L219" s="38"/>
      <x:c r="M219" s="38"/>
      <x:c r="N219" s="38"/>
      <x:c r="O219" s="38"/>
      <x:c r="P219" s="38"/>
    </x:row>
    <x:row r="220" ht="32" customHeight="1">
      <x:c r="A220" s="38"/>
      <x:c r="B220" s="41"/>
      <x:c r="C220" s="38"/>
      <x:c r="D220" s="38"/>
      <x:c r="E220" s="38"/>
      <x:c r="F220" s="38"/>
      <x:c r="G220" s="38"/>
      <x:c r="H220" s="40"/>
      <x:c r="I220" s="40"/>
      <x:c r="J220" s="40"/>
      <x:c r="K220" s="40"/>
      <x:c r="L220" s="38"/>
      <x:c r="M220" s="38"/>
      <x:c r="N220" s="38"/>
      <x:c r="O220" s="38"/>
      <x:c r="P220" s="38"/>
    </x:row>
    <x:row r="221" ht="32" customHeight="1">
      <x:c r="A221" s="38"/>
      <x:c r="B221" s="41"/>
      <x:c r="C221" s="38"/>
      <x:c r="D221" s="38"/>
      <x:c r="E221" s="38"/>
      <x:c r="F221" s="38"/>
      <x:c r="G221" s="38"/>
      <x:c r="H221" s="40"/>
      <x:c r="I221" s="40"/>
      <x:c r="J221" s="40"/>
      <x:c r="K221" s="40"/>
      <x:c r="L221" s="38"/>
      <x:c r="M221" s="38"/>
      <x:c r="N221" s="38"/>
      <x:c r="O221" s="38"/>
      <x:c r="P221" s="38"/>
    </x:row>
    <x:row r="222" ht="32" customHeight="1">
      <x:c r="A222" s="38"/>
      <x:c r="B222" s="41"/>
      <x:c r="C222" s="38"/>
      <x:c r="D222" s="38"/>
      <x:c r="E222" s="38"/>
      <x:c r="F222" s="38"/>
      <x:c r="G222" s="38"/>
      <x:c r="H222" s="40"/>
      <x:c r="I222" s="40"/>
      <x:c r="J222" s="40"/>
      <x:c r="K222" s="40"/>
      <x:c r="L222" s="38"/>
      <x:c r="M222" s="38"/>
      <x:c r="N222" s="38"/>
      <x:c r="O222" s="38"/>
      <x:c r="P222" s="38"/>
    </x:row>
    <x:row r="223" ht="32" customHeight="1">
      <x:c r="A223" s="38"/>
      <x:c r="B223" s="41"/>
      <x:c r="C223" s="38"/>
      <x:c r="D223" s="38"/>
      <x:c r="E223" s="38"/>
      <x:c r="F223" s="38"/>
      <x:c r="G223" s="38"/>
      <x:c r="H223" s="40"/>
      <x:c r="I223" s="40"/>
      <x:c r="J223" s="40"/>
      <x:c r="K223" s="40"/>
      <x:c r="L223" s="38"/>
      <x:c r="M223" s="38"/>
      <x:c r="N223" s="38"/>
      <x:c r="O223" s="38"/>
      <x:c r="P223" s="38"/>
    </x:row>
    <x:row r="224" ht="32" customHeight="1">
      <x:c r="A224" s="38"/>
      <x:c r="B224" s="41"/>
      <x:c r="C224" s="38"/>
      <x:c r="D224" s="38"/>
      <x:c r="E224" s="38"/>
      <x:c r="F224" s="38"/>
      <x:c r="G224" s="38"/>
      <x:c r="H224" s="40"/>
      <x:c r="I224" s="40"/>
      <x:c r="J224" s="40"/>
      <x:c r="K224" s="40"/>
      <x:c r="L224" s="38"/>
      <x:c r="M224" s="38"/>
      <x:c r="N224" s="38"/>
      <x:c r="O224" s="38"/>
      <x:c r="P224" s="38"/>
    </x:row>
    <x:row r="225" ht="32" customHeight="1">
      <x:c r="A225" s="38"/>
      <x:c r="B225" s="41"/>
      <x:c r="C225" s="38"/>
      <x:c r="D225" s="38"/>
      <x:c r="E225" s="38"/>
      <x:c r="F225" s="38"/>
      <x:c r="G225" s="38"/>
      <x:c r="H225" s="40"/>
      <x:c r="I225" s="40"/>
      <x:c r="J225" s="40"/>
      <x:c r="K225" s="40"/>
      <x:c r="L225" s="38"/>
      <x:c r="M225" s="38"/>
      <x:c r="N225" s="38"/>
      <x:c r="O225" s="38"/>
      <x:c r="P225" s="38"/>
    </x:row>
    <x:row r="226" ht="32" customHeight="1">
      <x:c r="A226" s="38"/>
      <x:c r="B226" s="41"/>
      <x:c r="C226" s="38"/>
      <x:c r="D226" s="38"/>
      <x:c r="E226" s="38"/>
      <x:c r="F226" s="38"/>
      <x:c r="G226" s="38"/>
      <x:c r="H226" s="40"/>
      <x:c r="I226" s="40"/>
      <x:c r="J226" s="40"/>
      <x:c r="K226" s="40"/>
      <x:c r="L226" s="38"/>
      <x:c r="M226" s="38"/>
      <x:c r="N226" s="38"/>
      <x:c r="O226" s="38"/>
      <x:c r="P226" s="38"/>
    </x:row>
    <x:row r="227" ht="32" customHeight="1">
      <x:c r="A227" s="38"/>
      <x:c r="B227" s="41"/>
      <x:c r="C227" s="38"/>
      <x:c r="D227" s="38"/>
      <x:c r="E227" s="38"/>
      <x:c r="F227" s="38"/>
      <x:c r="G227" s="38"/>
      <x:c r="H227" s="40"/>
      <x:c r="I227" s="40"/>
      <x:c r="J227" s="40"/>
      <x:c r="K227" s="40"/>
      <x:c r="L227" s="38"/>
      <x:c r="M227" s="38"/>
      <x:c r="N227" s="38"/>
      <x:c r="O227" s="38"/>
      <x:c r="P227" s="38"/>
    </x:row>
    <x:row r="228" ht="32" customHeight="1">
      <x:c r="A228" s="38"/>
      <x:c r="B228" s="41"/>
      <x:c r="C228" s="38"/>
      <x:c r="D228" s="38"/>
      <x:c r="E228" s="38"/>
      <x:c r="F228" s="38"/>
      <x:c r="G228" s="38"/>
      <x:c r="H228" s="40"/>
      <x:c r="I228" s="40"/>
      <x:c r="J228" s="40"/>
      <x:c r="K228" s="40"/>
      <x:c r="L228" s="38"/>
      <x:c r="M228" s="38"/>
      <x:c r="N228" s="38"/>
      <x:c r="O228" s="38"/>
      <x:c r="P228" s="38"/>
    </x:row>
    <x:row r="229" ht="32" customHeight="1">
      <x:c r="A229" s="38"/>
      <x:c r="B229" s="41"/>
      <x:c r="C229" s="38"/>
      <x:c r="D229" s="38"/>
      <x:c r="E229" s="38"/>
      <x:c r="F229" s="38"/>
      <x:c r="G229" s="38"/>
      <x:c r="H229" s="40"/>
      <x:c r="I229" s="40"/>
      <x:c r="J229" s="40"/>
      <x:c r="K229" s="40"/>
      <x:c r="L229" s="38"/>
      <x:c r="M229" s="38"/>
      <x:c r="N229" s="38"/>
      <x:c r="O229" s="38"/>
      <x:c r="P229" s="38"/>
    </x:row>
    <x:row r="230" ht="32" customHeight="1">
      <x:c r="A230" s="38"/>
      <x:c r="B230" s="41"/>
      <x:c r="C230" s="38"/>
      <x:c r="D230" s="38"/>
      <x:c r="E230" s="38"/>
      <x:c r="F230" s="38"/>
      <x:c r="G230" s="38"/>
      <x:c r="H230" s="40"/>
      <x:c r="I230" s="40"/>
      <x:c r="J230" s="40"/>
      <x:c r="K230" s="40"/>
      <x:c r="L230" s="38"/>
      <x:c r="M230" s="38"/>
      <x:c r="N230" s="38"/>
      <x:c r="O230" s="38"/>
      <x:c r="P230" s="38"/>
    </x:row>
    <x:row r="231" ht="32" customHeight="1">
      <x:c r="A231" s="38"/>
      <x:c r="B231" s="41"/>
      <x:c r="C231" s="38"/>
      <x:c r="D231" s="38"/>
      <x:c r="E231" s="38"/>
      <x:c r="F231" s="38"/>
      <x:c r="G231" s="38"/>
      <x:c r="H231" s="40"/>
      <x:c r="I231" s="40"/>
      <x:c r="J231" s="40"/>
      <x:c r="K231" s="40"/>
      <x:c r="L231" s="38"/>
      <x:c r="M231" s="38"/>
      <x:c r="N231" s="38"/>
      <x:c r="O231" s="38"/>
      <x:c r="P231" s="38"/>
    </x:row>
    <x:row r="232" ht="32" customHeight="1">
      <x:c r="A232" s="38"/>
      <x:c r="B232" s="41"/>
      <x:c r="C232" s="38"/>
      <x:c r="D232" s="38"/>
      <x:c r="E232" s="38"/>
      <x:c r="F232" s="38"/>
      <x:c r="G232" s="38"/>
      <x:c r="H232" s="40"/>
      <x:c r="I232" s="40"/>
      <x:c r="J232" s="40"/>
      <x:c r="K232" s="40"/>
      <x:c r="L232" s="38"/>
      <x:c r="M232" s="38"/>
      <x:c r="N232" s="38"/>
      <x:c r="O232" s="38"/>
      <x:c r="P232" s="38"/>
    </x:row>
    <x:row r="233" ht="32" customHeight="1">
      <x:c r="A233" s="38"/>
      <x:c r="B233" s="41"/>
      <x:c r="C233" s="38"/>
      <x:c r="D233" s="38"/>
      <x:c r="E233" s="38"/>
      <x:c r="F233" s="38"/>
      <x:c r="G233" s="38"/>
      <x:c r="H233" s="40"/>
      <x:c r="I233" s="40"/>
      <x:c r="J233" s="40"/>
      <x:c r="K233" s="40"/>
      <x:c r="L233" s="38"/>
      <x:c r="M233" s="38"/>
      <x:c r="N233" s="38"/>
      <x:c r="O233" s="38"/>
      <x:c r="P233" s="38"/>
    </x:row>
    <x:row r="234" ht="32" customHeight="1">
      <x:c r="A234" s="38"/>
      <x:c r="B234" s="41"/>
      <x:c r="C234" s="38"/>
      <x:c r="D234" s="38"/>
      <x:c r="E234" s="38"/>
      <x:c r="F234" s="38"/>
      <x:c r="G234" s="38"/>
      <x:c r="H234" s="40"/>
      <x:c r="I234" s="40"/>
      <x:c r="J234" s="40"/>
      <x:c r="K234" s="40"/>
      <x:c r="L234" s="38"/>
      <x:c r="M234" s="38"/>
      <x:c r="N234" s="38"/>
      <x:c r="O234" s="38"/>
      <x:c r="P234" s="38"/>
    </x:row>
    <x:row r="235" ht="32" customHeight="1">
      <x:c r="A235" s="38"/>
      <x:c r="B235" s="41"/>
      <x:c r="C235" s="38"/>
      <x:c r="D235" s="38"/>
      <x:c r="E235" s="38"/>
      <x:c r="F235" s="38"/>
      <x:c r="G235" s="38"/>
      <x:c r="H235" s="40"/>
      <x:c r="I235" s="40"/>
      <x:c r="J235" s="40"/>
      <x:c r="K235" s="40"/>
      <x:c r="L235" s="38"/>
      <x:c r="M235" s="38"/>
      <x:c r="N235" s="38"/>
      <x:c r="O235" s="38"/>
      <x:c r="P235" s="38"/>
    </x:row>
    <x:row r="236" ht="32" customHeight="1">
      <x:c r="A236" s="38"/>
      <x:c r="B236" s="41"/>
      <x:c r="C236" s="38"/>
      <x:c r="D236" s="38"/>
      <x:c r="E236" s="38"/>
      <x:c r="F236" s="38"/>
      <x:c r="G236" s="38"/>
      <x:c r="H236" s="40"/>
      <x:c r="I236" s="40"/>
      <x:c r="J236" s="40"/>
      <x:c r="K236" s="40"/>
      <x:c r="L236" s="38"/>
      <x:c r="M236" s="38"/>
      <x:c r="N236" s="38"/>
      <x:c r="O236" s="38"/>
      <x:c r="P236" s="38"/>
    </x:row>
    <x:row r="237" ht="32" customHeight="1">
      <x:c r="A237" s="38"/>
      <x:c r="B237" s="41"/>
      <x:c r="C237" s="38"/>
      <x:c r="D237" s="38"/>
      <x:c r="E237" s="38"/>
      <x:c r="F237" s="38"/>
      <x:c r="G237" s="38"/>
      <x:c r="H237" s="40"/>
      <x:c r="I237" s="40"/>
      <x:c r="J237" s="40"/>
      <x:c r="K237" s="40"/>
      <x:c r="L237" s="38"/>
      <x:c r="M237" s="38"/>
      <x:c r="N237" s="38"/>
      <x:c r="O237" s="38"/>
      <x:c r="P237" s="38"/>
    </x:row>
    <x:row r="238" ht="32" customHeight="1">
      <x:c r="A238" s="38"/>
      <x:c r="B238" s="41"/>
      <x:c r="C238" s="38"/>
      <x:c r="D238" s="38"/>
      <x:c r="E238" s="38"/>
      <x:c r="F238" s="38"/>
      <x:c r="G238" s="38"/>
      <x:c r="H238" s="40"/>
      <x:c r="I238" s="40"/>
      <x:c r="J238" s="40"/>
      <x:c r="K238" s="40"/>
      <x:c r="L238" s="38"/>
      <x:c r="M238" s="38"/>
      <x:c r="N238" s="38"/>
      <x:c r="O238" s="38"/>
      <x:c r="P238" s="38"/>
    </x:row>
    <x:row r="239" ht="32" customHeight="1">
      <x:c r="A239" s="38"/>
      <x:c r="B239" s="41"/>
      <x:c r="C239" s="38"/>
      <x:c r="D239" s="38"/>
      <x:c r="E239" s="38"/>
      <x:c r="F239" s="38"/>
      <x:c r="G239" s="38"/>
      <x:c r="H239" s="40"/>
      <x:c r="I239" s="40"/>
      <x:c r="J239" s="40"/>
      <x:c r="K239" s="40"/>
      <x:c r="L239" s="38"/>
      <x:c r="M239" s="38"/>
      <x:c r="N239" s="38"/>
      <x:c r="O239" s="38"/>
      <x:c r="P239" s="38"/>
    </x:row>
    <x:row r="240" ht="32" customHeight="1">
      <x:c r="A240" s="38"/>
      <x:c r="B240" s="41"/>
      <x:c r="C240" s="38"/>
      <x:c r="D240" s="38"/>
      <x:c r="E240" s="38"/>
      <x:c r="F240" s="38"/>
      <x:c r="G240" s="38"/>
      <x:c r="H240" s="40"/>
      <x:c r="I240" s="40"/>
      <x:c r="J240" s="40"/>
      <x:c r="K240" s="40"/>
      <x:c r="L240" s="38"/>
      <x:c r="M240" s="38"/>
      <x:c r="N240" s="38"/>
      <x:c r="O240" s="38"/>
      <x:c r="P240" s="38"/>
    </x:row>
    <x:row r="241" ht="32" customHeight="1">
      <x:c r="A241" s="38"/>
      <x:c r="B241" s="41"/>
      <x:c r="C241" s="38"/>
      <x:c r="D241" s="38"/>
      <x:c r="E241" s="38"/>
      <x:c r="F241" s="38"/>
      <x:c r="G241" s="38"/>
      <x:c r="H241" s="40"/>
      <x:c r="I241" s="40"/>
      <x:c r="J241" s="40"/>
      <x:c r="K241" s="40"/>
      <x:c r="L241" s="38"/>
      <x:c r="M241" s="38"/>
      <x:c r="N241" s="38"/>
      <x:c r="O241" s="38"/>
      <x:c r="P241" s="38"/>
    </x:row>
    <x:row r="242" ht="32" customHeight="1">
      <x:c r="A242" s="38"/>
      <x:c r="B242" s="41"/>
      <x:c r="C242" s="38"/>
      <x:c r="D242" s="38"/>
      <x:c r="E242" s="38"/>
      <x:c r="F242" s="38"/>
      <x:c r="G242" s="38"/>
      <x:c r="H242" s="40"/>
      <x:c r="I242" s="40"/>
      <x:c r="J242" s="40"/>
      <x:c r="K242" s="40"/>
      <x:c r="L242" s="38"/>
      <x:c r="M242" s="38"/>
      <x:c r="N242" s="38"/>
      <x:c r="O242" s="38"/>
      <x:c r="P242" s="38"/>
    </x:row>
    <x:row r="243" ht="32" customHeight="1">
      <x:c r="A243" s="38"/>
      <x:c r="B243" s="41"/>
      <x:c r="C243" s="38"/>
      <x:c r="D243" s="38"/>
      <x:c r="E243" s="38"/>
      <x:c r="F243" s="38"/>
      <x:c r="G243" s="38"/>
      <x:c r="H243" s="40"/>
      <x:c r="I243" s="40"/>
      <x:c r="J243" s="40"/>
      <x:c r="K243" s="40"/>
      <x:c r="L243" s="38"/>
      <x:c r="M243" s="38"/>
      <x:c r="N243" s="38"/>
      <x:c r="O243" s="38"/>
      <x:c r="P243" s="38"/>
    </x:row>
    <x:row r="244" ht="32" customHeight="1">
      <x:c r="A244" s="38"/>
      <x:c r="B244" s="41"/>
      <x:c r="C244" s="38"/>
      <x:c r="D244" s="38"/>
      <x:c r="E244" s="38"/>
      <x:c r="F244" s="38"/>
      <x:c r="G244" s="38"/>
      <x:c r="H244" s="40"/>
      <x:c r="I244" s="40"/>
      <x:c r="J244" s="40"/>
      <x:c r="K244" s="40"/>
      <x:c r="L244" s="38"/>
      <x:c r="M244" s="38"/>
      <x:c r="N244" s="38"/>
      <x:c r="O244" s="38"/>
      <x:c r="P244" s="38"/>
    </x:row>
    <x:row r="245" ht="32" customHeight="1">
      <x:c r="A245" s="38"/>
      <x:c r="B245" s="41"/>
      <x:c r="C245" s="38"/>
      <x:c r="D245" s="38"/>
      <x:c r="E245" s="38"/>
      <x:c r="F245" s="38"/>
      <x:c r="G245" s="38"/>
      <x:c r="H245" s="40"/>
      <x:c r="I245" s="40"/>
      <x:c r="J245" s="40"/>
      <x:c r="K245" s="40"/>
      <x:c r="L245" s="38"/>
      <x:c r="M245" s="38"/>
      <x:c r="N245" s="38"/>
      <x:c r="O245" s="38"/>
      <x:c r="P245" s="38"/>
    </x:row>
    <x:row r="246" ht="32" customHeight="1">
      <x:c r="A246" s="38"/>
      <x:c r="B246" s="41"/>
      <x:c r="C246" s="38"/>
      <x:c r="D246" s="38"/>
      <x:c r="E246" s="38"/>
      <x:c r="F246" s="38"/>
      <x:c r="G246" s="38"/>
      <x:c r="H246" s="40"/>
      <x:c r="I246" s="40"/>
      <x:c r="J246" s="40"/>
      <x:c r="K246" s="40"/>
      <x:c r="L246" s="38"/>
      <x:c r="M246" s="38"/>
      <x:c r="N246" s="38"/>
      <x:c r="O246" s="38"/>
      <x:c r="P246" s="38"/>
    </x:row>
    <x:row r="247" ht="32" customHeight="1">
      <x:c r="A247" s="38"/>
      <x:c r="B247" s="41"/>
      <x:c r="C247" s="38"/>
      <x:c r="D247" s="38"/>
      <x:c r="E247" s="38"/>
      <x:c r="F247" s="38"/>
      <x:c r="G247" s="38"/>
      <x:c r="H247" s="40"/>
      <x:c r="I247" s="40"/>
      <x:c r="J247" s="40"/>
      <x:c r="K247" s="40"/>
      <x:c r="L247" s="38"/>
      <x:c r="M247" s="38"/>
      <x:c r="N247" s="38"/>
      <x:c r="O247" s="38"/>
      <x:c r="P247" s="38"/>
    </x:row>
    <x:row r="248" ht="32" customHeight="1">
      <x:c r="A248" s="38"/>
      <x:c r="B248" s="41"/>
      <x:c r="C248" s="38"/>
      <x:c r="D248" s="38"/>
      <x:c r="E248" s="38"/>
      <x:c r="F248" s="38"/>
      <x:c r="G248" s="38"/>
      <x:c r="H248" s="40"/>
      <x:c r="I248" s="40"/>
      <x:c r="J248" s="40"/>
      <x:c r="K248" s="40"/>
      <x:c r="L248" s="38"/>
      <x:c r="M248" s="38"/>
      <x:c r="N248" s="38"/>
      <x:c r="O248" s="38"/>
      <x:c r="P248" s="38"/>
    </x:row>
    <x:row r="249" ht="32" customHeight="1">
      <x:c r="A249" s="38"/>
      <x:c r="B249" s="41"/>
      <x:c r="C249" s="38"/>
      <x:c r="D249" s="38"/>
      <x:c r="E249" s="38"/>
      <x:c r="F249" s="38"/>
      <x:c r="G249" s="38"/>
      <x:c r="H249" s="40"/>
      <x:c r="I249" s="40"/>
      <x:c r="J249" s="40"/>
      <x:c r="K249" s="40"/>
      <x:c r="L249" s="38"/>
      <x:c r="M249" s="38"/>
      <x:c r="N249" s="38"/>
      <x:c r="O249" s="38"/>
      <x:c r="P249" s="38"/>
    </x:row>
    <x:row r="250" ht="32" customHeight="1">
      <x:c r="A250" s="38"/>
      <x:c r="B250" s="41"/>
      <x:c r="C250" s="38"/>
      <x:c r="D250" s="38"/>
      <x:c r="E250" s="38"/>
      <x:c r="F250" s="38"/>
      <x:c r="G250" s="38"/>
      <x:c r="H250" s="40"/>
      <x:c r="I250" s="40"/>
      <x:c r="J250" s="40"/>
      <x:c r="K250" s="40"/>
      <x:c r="L250" s="38"/>
      <x:c r="M250" s="38"/>
      <x:c r="N250" s="38"/>
      <x:c r="O250" s="38"/>
      <x:c r="P250" s="38"/>
    </x:row>
    <x:row r="251" ht="32" customHeight="1">
      <x:c r="A251" s="38"/>
      <x:c r="B251" s="41"/>
      <x:c r="C251" s="38"/>
      <x:c r="D251" s="38"/>
      <x:c r="E251" s="38"/>
      <x:c r="F251" s="38"/>
      <x:c r="G251" s="38"/>
      <x:c r="H251" s="40"/>
      <x:c r="I251" s="40"/>
      <x:c r="J251" s="40"/>
      <x:c r="K251" s="40"/>
      <x:c r="L251" s="38"/>
      <x:c r="M251" s="38"/>
      <x:c r="N251" s="38"/>
      <x:c r="O251" s="38"/>
      <x:c r="P251" s="38"/>
    </x:row>
    <x:row r="252" ht="32" customHeight="1">
      <x:c r="A252" s="38"/>
      <x:c r="B252" s="41"/>
      <x:c r="C252" s="38"/>
      <x:c r="D252" s="38"/>
      <x:c r="E252" s="38"/>
      <x:c r="F252" s="38"/>
      <x:c r="G252" s="38"/>
      <x:c r="H252" s="40"/>
      <x:c r="I252" s="40"/>
      <x:c r="J252" s="40"/>
      <x:c r="K252" s="40"/>
      <x:c r="L252" s="38"/>
      <x:c r="M252" s="38"/>
      <x:c r="N252" s="38"/>
      <x:c r="O252" s="38"/>
      <x:c r="P252" s="38"/>
    </x:row>
    <x:row r="253" ht="32" customHeight="1">
      <x:c r="A253" s="38"/>
      <x:c r="B253" s="41"/>
      <x:c r="C253" s="38"/>
      <x:c r="D253" s="38"/>
      <x:c r="E253" s="38"/>
      <x:c r="F253" s="38"/>
      <x:c r="G253" s="38"/>
      <x:c r="H253" s="40"/>
      <x:c r="I253" s="40"/>
      <x:c r="J253" s="40"/>
      <x:c r="K253" s="40"/>
      <x:c r="L253" s="38"/>
      <x:c r="M253" s="38"/>
      <x:c r="N253" s="38"/>
      <x:c r="O253" s="38"/>
      <x:c r="P253" s="38"/>
    </x:row>
    <x:row r="254" ht="32" customHeight="1">
      <x:c r="A254" s="38"/>
      <x:c r="B254" s="41"/>
      <x:c r="C254" s="38"/>
      <x:c r="D254" s="38"/>
      <x:c r="E254" s="38"/>
      <x:c r="F254" s="38"/>
      <x:c r="G254" s="38"/>
      <x:c r="H254" s="40"/>
      <x:c r="I254" s="40"/>
      <x:c r="J254" s="40"/>
      <x:c r="K254" s="40"/>
      <x:c r="L254" s="38"/>
      <x:c r="M254" s="38"/>
      <x:c r="N254" s="38"/>
      <x:c r="O254" s="38"/>
      <x:c r="P254" s="38"/>
    </x:row>
    <x:row r="255" ht="32" customHeight="1">
      <x:c r="A255" s="38"/>
      <x:c r="B255" s="41"/>
      <x:c r="C255" s="38"/>
      <x:c r="D255" s="38"/>
      <x:c r="E255" s="38"/>
      <x:c r="F255" s="38"/>
      <x:c r="G255" s="38"/>
      <x:c r="H255" s="40"/>
      <x:c r="I255" s="40"/>
      <x:c r="J255" s="40"/>
      <x:c r="K255" s="40"/>
      <x:c r="L255" s="38"/>
      <x:c r="M255" s="38"/>
      <x:c r="N255" s="38"/>
      <x:c r="O255" s="38"/>
      <x:c r="P255" s="38"/>
    </x:row>
    <x:row r="256" ht="32" customHeight="1">
      <x:c r="A256" s="38"/>
      <x:c r="B256" s="41"/>
      <x:c r="C256" s="38"/>
      <x:c r="D256" s="38"/>
      <x:c r="E256" s="38"/>
      <x:c r="F256" s="38"/>
      <x:c r="G256" s="38"/>
      <x:c r="H256" s="40"/>
      <x:c r="I256" s="40"/>
      <x:c r="J256" s="40"/>
      <x:c r="K256" s="40"/>
      <x:c r="L256" s="38"/>
      <x:c r="M256" s="38"/>
      <x:c r="N256" s="38"/>
      <x:c r="O256" s="38"/>
      <x:c r="P256" s="38"/>
    </x:row>
    <x:row r="257" ht="32" customHeight="1">
      <x:c r="A257" s="38"/>
      <x:c r="B257" s="41"/>
      <x:c r="C257" s="38"/>
      <x:c r="D257" s="38"/>
      <x:c r="E257" s="38"/>
      <x:c r="F257" s="38"/>
      <x:c r="G257" s="38"/>
      <x:c r="H257" s="40"/>
      <x:c r="I257" s="40"/>
      <x:c r="J257" s="40"/>
      <x:c r="K257" s="40"/>
      <x:c r="L257" s="38"/>
      <x:c r="M257" s="38"/>
      <x:c r="N257" s="38"/>
      <x:c r="O257" s="38"/>
      <x:c r="P257" s="38"/>
    </x:row>
    <x:row r="258" ht="32" customHeight="1">
      <x:c r="A258" s="38"/>
      <x:c r="B258" s="41"/>
      <x:c r="C258" s="38"/>
      <x:c r="D258" s="38"/>
      <x:c r="E258" s="38"/>
      <x:c r="F258" s="38"/>
      <x:c r="G258" s="38"/>
      <x:c r="H258" s="40"/>
      <x:c r="I258" s="40"/>
      <x:c r="J258" s="40"/>
      <x:c r="K258" s="40"/>
      <x:c r="L258" s="38"/>
      <x:c r="M258" s="38"/>
      <x:c r="N258" s="38"/>
      <x:c r="O258" s="38"/>
      <x:c r="P258" s="38"/>
    </x:row>
    <x:row r="259" ht="32" customHeight="1">
      <x:c r="A259" s="38"/>
      <x:c r="B259" s="41"/>
      <x:c r="C259" s="38"/>
      <x:c r="D259" s="38"/>
      <x:c r="E259" s="38"/>
      <x:c r="F259" s="38"/>
      <x:c r="G259" s="38"/>
      <x:c r="H259" s="40"/>
      <x:c r="I259" s="40"/>
      <x:c r="J259" s="40"/>
      <x:c r="K259" s="40"/>
      <x:c r="L259" s="38"/>
      <x:c r="M259" s="38"/>
      <x:c r="N259" s="38"/>
      <x:c r="O259" s="38"/>
      <x:c r="P259" s="38"/>
    </x:row>
    <x:row r="260" ht="32" customHeight="1">
      <x:c r="A260" s="38"/>
      <x:c r="B260" s="41"/>
      <x:c r="C260" s="38"/>
      <x:c r="D260" s="38"/>
      <x:c r="E260" s="38"/>
      <x:c r="F260" s="38"/>
      <x:c r="G260" s="38"/>
      <x:c r="H260" s="40"/>
      <x:c r="I260" s="40"/>
      <x:c r="J260" s="40"/>
      <x:c r="K260" s="40"/>
      <x:c r="L260" s="38"/>
      <x:c r="M260" s="38"/>
      <x:c r="N260" s="38"/>
      <x:c r="O260" s="38"/>
      <x:c r="P260" s="38"/>
    </x:row>
    <x:row r="261" ht="32" customHeight="1">
      <x:c r="A261" s="38"/>
      <x:c r="B261" s="41"/>
      <x:c r="C261" s="38"/>
      <x:c r="D261" s="38"/>
      <x:c r="E261" s="38"/>
      <x:c r="F261" s="38"/>
      <x:c r="G261" s="38"/>
      <x:c r="H261" s="40"/>
      <x:c r="I261" s="40"/>
      <x:c r="J261" s="40"/>
      <x:c r="K261" s="40"/>
      <x:c r="L261" s="38"/>
      <x:c r="M261" s="38"/>
      <x:c r="N261" s="38"/>
      <x:c r="O261" s="38"/>
      <x:c r="P261" s="38"/>
    </x:row>
    <x:row r="262" ht="32" customHeight="1">
      <x:c r="A262" s="38"/>
      <x:c r="B262" s="41"/>
      <x:c r="C262" s="38"/>
      <x:c r="D262" s="38"/>
      <x:c r="E262" s="38"/>
      <x:c r="F262" s="38"/>
      <x:c r="G262" s="38"/>
      <x:c r="H262" s="40"/>
      <x:c r="I262" s="40"/>
      <x:c r="J262" s="40"/>
      <x:c r="K262" s="40"/>
      <x:c r="L262" s="38"/>
      <x:c r="M262" s="38"/>
      <x:c r="N262" s="38"/>
      <x:c r="O262" s="38"/>
      <x:c r="P262" s="38"/>
    </x:row>
    <x:row r="263" ht="32" customHeight="1">
      <x:c r="A263" s="38"/>
      <x:c r="B263" s="41"/>
      <x:c r="C263" s="38"/>
      <x:c r="D263" s="38"/>
      <x:c r="E263" s="38"/>
      <x:c r="F263" s="38"/>
      <x:c r="G263" s="38"/>
      <x:c r="H263" s="40"/>
      <x:c r="I263" s="40"/>
      <x:c r="J263" s="40"/>
      <x:c r="K263" s="40"/>
      <x:c r="L263" s="38"/>
      <x:c r="M263" s="38"/>
      <x:c r="N263" s="38"/>
      <x:c r="O263" s="38"/>
      <x:c r="P263" s="38"/>
    </x:row>
    <x:row r="264" ht="32" customHeight="1">
      <x:c r="A264" s="38"/>
      <x:c r="B264" s="41"/>
      <x:c r="C264" s="38"/>
      <x:c r="D264" s="38"/>
      <x:c r="E264" s="38"/>
      <x:c r="F264" s="38"/>
      <x:c r="G264" s="38"/>
      <x:c r="H264" s="40"/>
      <x:c r="I264" s="40"/>
      <x:c r="J264" s="40"/>
      <x:c r="K264" s="40"/>
      <x:c r="L264" s="38"/>
      <x:c r="M264" s="38"/>
      <x:c r="N264" s="38"/>
      <x:c r="O264" s="38"/>
      <x:c r="P264" s="38"/>
    </x:row>
    <x:row r="265" ht="32" customHeight="1">
      <x:c r="A265" s="38"/>
      <x:c r="B265" s="41"/>
      <x:c r="C265" s="38"/>
      <x:c r="D265" s="38"/>
      <x:c r="E265" s="38"/>
      <x:c r="F265" s="38"/>
      <x:c r="G265" s="38"/>
      <x:c r="H265" s="40"/>
      <x:c r="I265" s="40"/>
      <x:c r="J265" s="40"/>
      <x:c r="K265" s="40"/>
      <x:c r="L265" s="38"/>
      <x:c r="M265" s="38"/>
      <x:c r="N265" s="38"/>
      <x:c r="O265" s="38"/>
      <x:c r="P265" s="38"/>
    </x:row>
    <x:row r="266" ht="32" customHeight="1">
      <x:c r="A266" s="38"/>
      <x:c r="B266" s="41"/>
      <x:c r="C266" s="38"/>
      <x:c r="D266" s="38"/>
      <x:c r="E266" s="38"/>
      <x:c r="F266" s="38"/>
      <x:c r="G266" s="38"/>
      <x:c r="H266" s="40"/>
      <x:c r="I266" s="40"/>
      <x:c r="J266" s="40"/>
      <x:c r="K266" s="40"/>
      <x:c r="L266" s="38"/>
      <x:c r="M266" s="38"/>
      <x:c r="N266" s="38"/>
      <x:c r="O266" s="38"/>
      <x:c r="P266" s="38"/>
    </x:row>
    <x:row r="267" ht="32" customHeight="1">
      <x:c r="A267" s="38"/>
      <x:c r="B267" s="41"/>
      <x:c r="C267" s="38"/>
      <x:c r="D267" s="38"/>
      <x:c r="E267" s="38"/>
      <x:c r="F267" s="38"/>
      <x:c r="G267" s="38"/>
      <x:c r="H267" s="40"/>
      <x:c r="I267" s="40"/>
      <x:c r="J267" s="40"/>
      <x:c r="K267" s="40"/>
      <x:c r="L267" s="38"/>
      <x:c r="M267" s="38"/>
      <x:c r="N267" s="38"/>
      <x:c r="O267" s="38"/>
      <x:c r="P267" s="38"/>
    </x:row>
    <x:row r="268" ht="32" customHeight="1">
      <x:c r="A268" s="38"/>
      <x:c r="B268" s="41"/>
      <x:c r="C268" s="38"/>
      <x:c r="D268" s="38"/>
      <x:c r="E268" s="38"/>
      <x:c r="F268" s="38"/>
      <x:c r="G268" s="38"/>
      <x:c r="H268" s="40"/>
      <x:c r="I268" s="40"/>
      <x:c r="J268" s="40"/>
      <x:c r="K268" s="40"/>
      <x:c r="L268" s="38"/>
      <x:c r="M268" s="38"/>
      <x:c r="N268" s="38"/>
      <x:c r="O268" s="38"/>
      <x:c r="P268" s="38"/>
    </x:row>
    <x:row r="269" ht="32" customHeight="1">
      <x:c r="A269" s="38"/>
      <x:c r="B269" s="41"/>
      <x:c r="C269" s="38"/>
      <x:c r="D269" s="38"/>
      <x:c r="E269" s="38"/>
      <x:c r="F269" s="38"/>
      <x:c r="G269" s="38"/>
      <x:c r="H269" s="40"/>
      <x:c r="I269" s="40"/>
      <x:c r="J269" s="40"/>
      <x:c r="K269" s="40"/>
      <x:c r="L269" s="38"/>
      <x:c r="M269" s="38"/>
      <x:c r="N269" s="38"/>
      <x:c r="O269" s="38"/>
      <x:c r="P269" s="38"/>
    </x:row>
    <x:row r="270" ht="32" customHeight="1">
      <x:c r="A270" s="38"/>
      <x:c r="B270" s="41"/>
      <x:c r="C270" s="38"/>
      <x:c r="D270" s="38"/>
      <x:c r="E270" s="38"/>
      <x:c r="F270" s="38"/>
      <x:c r="G270" s="38"/>
      <x:c r="H270" s="40"/>
      <x:c r="I270" s="40"/>
      <x:c r="J270" s="40"/>
      <x:c r="K270" s="40"/>
      <x:c r="L270" s="38"/>
      <x:c r="M270" s="38"/>
      <x:c r="N270" s="38"/>
      <x:c r="O270" s="38"/>
      <x:c r="P270" s="38"/>
    </x:row>
    <x:row r="271" ht="32" customHeight="1">
      <x:c r="A271" s="38"/>
      <x:c r="B271" s="41"/>
      <x:c r="C271" s="38"/>
      <x:c r="D271" s="38"/>
      <x:c r="E271" s="38"/>
      <x:c r="F271" s="38"/>
      <x:c r="G271" s="38"/>
      <x:c r="H271" s="40"/>
      <x:c r="I271" s="40"/>
      <x:c r="J271" s="40"/>
      <x:c r="K271" s="40"/>
      <x:c r="L271" s="38"/>
      <x:c r="M271" s="38"/>
      <x:c r="N271" s="38"/>
      <x:c r="O271" s="38"/>
      <x:c r="P271" s="38"/>
    </x:row>
    <x:row r="272" ht="32" customHeight="1">
      <x:c r="A272" s="38"/>
      <x:c r="B272" s="41"/>
      <x:c r="C272" s="38"/>
      <x:c r="D272" s="38"/>
      <x:c r="E272" s="38"/>
      <x:c r="F272" s="38"/>
      <x:c r="G272" s="38"/>
      <x:c r="H272" s="40"/>
      <x:c r="I272" s="40"/>
      <x:c r="J272" s="40"/>
      <x:c r="K272" s="40"/>
      <x:c r="L272" s="38"/>
      <x:c r="M272" s="38"/>
      <x:c r="N272" s="38"/>
      <x:c r="O272" s="38"/>
      <x:c r="P272" s="38"/>
    </x:row>
    <x:row r="273" ht="32" customHeight="1">
      <x:c r="A273" s="38"/>
      <x:c r="B273" s="41"/>
      <x:c r="C273" s="38"/>
      <x:c r="D273" s="38"/>
      <x:c r="E273" s="38"/>
      <x:c r="F273" s="38"/>
      <x:c r="G273" s="38"/>
      <x:c r="H273" s="40"/>
      <x:c r="I273" s="40"/>
      <x:c r="J273" s="40"/>
      <x:c r="K273" s="40"/>
      <x:c r="L273" s="38"/>
      <x:c r="M273" s="38"/>
      <x:c r="N273" s="38"/>
      <x:c r="O273" s="38"/>
      <x:c r="P273" s="38"/>
    </x:row>
    <x:row r="274" ht="32" customHeight="1">
      <x:c r="A274" s="38"/>
      <x:c r="B274" s="41"/>
      <x:c r="C274" s="38"/>
      <x:c r="D274" s="38"/>
      <x:c r="E274" s="38"/>
      <x:c r="F274" s="38"/>
      <x:c r="G274" s="38"/>
      <x:c r="H274" s="40"/>
      <x:c r="I274" s="40"/>
      <x:c r="J274" s="40"/>
      <x:c r="K274" s="40"/>
      <x:c r="L274" s="38"/>
      <x:c r="M274" s="38"/>
      <x:c r="N274" s="38"/>
      <x:c r="O274" s="38"/>
      <x:c r="P274" s="38"/>
    </x:row>
    <x:row r="275" ht="32" customHeight="1">
      <x:c r="A275" s="38"/>
      <x:c r="B275" s="41"/>
      <x:c r="C275" s="38"/>
      <x:c r="D275" s="38"/>
      <x:c r="E275" s="38"/>
      <x:c r="F275" s="38"/>
      <x:c r="G275" s="38"/>
      <x:c r="H275" s="40"/>
      <x:c r="I275" s="40"/>
      <x:c r="J275" s="40"/>
      <x:c r="K275" s="40"/>
      <x:c r="L275" s="38"/>
      <x:c r="M275" s="38"/>
      <x:c r="N275" s="38"/>
      <x:c r="O275" s="38"/>
      <x:c r="P275" s="38"/>
    </x:row>
    <x:row r="276" ht="32" customHeight="1">
      <x:c r="A276" s="38"/>
      <x:c r="B276" s="41"/>
      <x:c r="C276" s="38"/>
      <x:c r="D276" s="38"/>
      <x:c r="E276" s="38"/>
      <x:c r="F276" s="38"/>
      <x:c r="G276" s="38"/>
      <x:c r="H276" s="40"/>
      <x:c r="I276" s="40"/>
      <x:c r="J276" s="40"/>
      <x:c r="K276" s="40"/>
      <x:c r="L276" s="38"/>
      <x:c r="M276" s="38"/>
      <x:c r="N276" s="38"/>
      <x:c r="O276" s="38"/>
      <x:c r="P276" s="38"/>
    </x:row>
    <x:row r="277" ht="32" customHeight="1">
      <x:c r="A277" s="38"/>
      <x:c r="B277" s="41"/>
      <x:c r="C277" s="38"/>
      <x:c r="D277" s="38"/>
      <x:c r="E277" s="38"/>
      <x:c r="F277" s="38"/>
      <x:c r="G277" s="38"/>
      <x:c r="H277" s="40"/>
      <x:c r="I277" s="40"/>
      <x:c r="J277" s="40"/>
      <x:c r="K277" s="40"/>
      <x:c r="L277" s="38"/>
      <x:c r="M277" s="38"/>
      <x:c r="N277" s="38"/>
      <x:c r="O277" s="38"/>
      <x:c r="P277" s="38"/>
    </x:row>
    <x:row r="278" ht="32" customHeight="1">
      <x:c r="A278" s="38"/>
      <x:c r="B278" s="41"/>
      <x:c r="C278" s="38"/>
      <x:c r="D278" s="38"/>
      <x:c r="E278" s="38"/>
      <x:c r="F278" s="38"/>
      <x:c r="G278" s="38"/>
      <x:c r="H278" s="40"/>
      <x:c r="I278" s="40"/>
      <x:c r="J278" s="40"/>
      <x:c r="K278" s="40"/>
      <x:c r="L278" s="38"/>
      <x:c r="M278" s="38"/>
      <x:c r="N278" s="38"/>
      <x:c r="O278" s="38"/>
      <x:c r="P278" s="38"/>
    </x:row>
    <x:row r="279" ht="32" customHeight="1">
      <x:c r="A279" s="38"/>
      <x:c r="B279" s="41"/>
      <x:c r="C279" s="38"/>
      <x:c r="D279" s="38"/>
      <x:c r="E279" s="38"/>
      <x:c r="F279" s="38"/>
      <x:c r="G279" s="38"/>
      <x:c r="H279" s="40"/>
      <x:c r="I279" s="40"/>
      <x:c r="J279" s="40"/>
      <x:c r="K279" s="40"/>
      <x:c r="L279" s="38"/>
      <x:c r="M279" s="38"/>
      <x:c r="N279" s="38"/>
      <x:c r="O279" s="38"/>
      <x:c r="P279" s="38"/>
    </x:row>
    <x:row r="280" ht="32" customHeight="1">
      <x:c r="A280" s="38"/>
      <x:c r="B280" s="41"/>
      <x:c r="C280" s="38"/>
      <x:c r="D280" s="38"/>
      <x:c r="E280" s="38"/>
      <x:c r="F280" s="38"/>
      <x:c r="G280" s="38"/>
      <x:c r="H280" s="40"/>
      <x:c r="I280" s="40"/>
      <x:c r="J280" s="40"/>
      <x:c r="K280" s="40"/>
      <x:c r="L280" s="38"/>
      <x:c r="M280" s="38"/>
      <x:c r="N280" s="38"/>
      <x:c r="O280" s="38"/>
      <x:c r="P280" s="38"/>
    </x:row>
    <x:row r="281" ht="32" customHeight="1">
      <x:c r="A281" s="38"/>
      <x:c r="B281" s="41"/>
      <x:c r="C281" s="38"/>
      <x:c r="D281" s="38"/>
      <x:c r="E281" s="38"/>
      <x:c r="F281" s="38"/>
      <x:c r="G281" s="38"/>
      <x:c r="H281" s="40"/>
      <x:c r="I281" s="40"/>
      <x:c r="J281" s="40"/>
      <x:c r="K281" s="40"/>
      <x:c r="L281" s="38"/>
      <x:c r="M281" s="38"/>
      <x:c r="N281" s="38"/>
      <x:c r="O281" s="38"/>
      <x:c r="P281" s="38"/>
    </x:row>
    <x:row r="282" ht="32" customHeight="1">
      <x:c r="A282" s="38"/>
      <x:c r="B282" s="41"/>
      <x:c r="C282" s="38"/>
      <x:c r="D282" s="38"/>
      <x:c r="E282" s="38"/>
      <x:c r="F282" s="38"/>
      <x:c r="G282" s="38"/>
      <x:c r="H282" s="40"/>
      <x:c r="I282" s="40"/>
      <x:c r="J282" s="40"/>
      <x:c r="K282" s="40"/>
      <x:c r="L282" s="38"/>
      <x:c r="M282" s="38"/>
      <x:c r="N282" s="38"/>
      <x:c r="O282" s="38"/>
      <x:c r="P282" s="38"/>
    </x:row>
    <x:row r="283" ht="32" customHeight="1">
      <x:c r="A283" s="38"/>
      <x:c r="B283" s="41"/>
      <x:c r="C283" s="38"/>
      <x:c r="D283" s="38"/>
      <x:c r="E283" s="38"/>
      <x:c r="F283" s="38"/>
      <x:c r="G283" s="38"/>
      <x:c r="H283" s="40"/>
      <x:c r="I283" s="40"/>
      <x:c r="J283" s="40"/>
      <x:c r="K283" s="40"/>
      <x:c r="L283" s="38"/>
      <x:c r="M283" s="38"/>
      <x:c r="N283" s="38"/>
      <x:c r="O283" s="38"/>
      <x:c r="P283" s="38"/>
    </x:row>
    <x:row r="284" ht="32" customHeight="1">
      <x:c r="A284" s="38"/>
      <x:c r="B284" s="41"/>
      <x:c r="C284" s="38"/>
      <x:c r="D284" s="38"/>
      <x:c r="E284" s="38"/>
      <x:c r="F284" s="38"/>
      <x:c r="G284" s="38"/>
      <x:c r="H284" s="40"/>
      <x:c r="I284" s="40"/>
      <x:c r="J284" s="40"/>
      <x:c r="K284" s="40"/>
      <x:c r="L284" s="38"/>
      <x:c r="M284" s="38"/>
      <x:c r="N284" s="38"/>
      <x:c r="O284" s="38"/>
      <x:c r="P284" s="38"/>
    </x:row>
    <x:row r="285" ht="32" customHeight="1">
      <x:c r="A285" s="38"/>
      <x:c r="B285" s="41"/>
      <x:c r="C285" s="38"/>
      <x:c r="D285" s="38"/>
      <x:c r="E285" s="38"/>
      <x:c r="F285" s="38"/>
      <x:c r="G285" s="38"/>
      <x:c r="H285" s="40"/>
      <x:c r="I285" s="40"/>
      <x:c r="J285" s="40"/>
      <x:c r="K285" s="40"/>
      <x:c r="L285" s="38"/>
      <x:c r="M285" s="38"/>
      <x:c r="N285" s="38"/>
      <x:c r="O285" s="38"/>
      <x:c r="P285" s="38"/>
    </x:row>
    <x:row r="286" ht="32" customHeight="1">
      <x:c r="A286" s="38"/>
      <x:c r="B286" s="41"/>
      <x:c r="C286" s="38"/>
      <x:c r="D286" s="38"/>
      <x:c r="E286" s="38"/>
      <x:c r="F286" s="38"/>
      <x:c r="G286" s="38"/>
      <x:c r="H286" s="40"/>
      <x:c r="I286" s="40"/>
      <x:c r="J286" s="40"/>
      <x:c r="K286" s="40"/>
      <x:c r="L286" s="38"/>
      <x:c r="M286" s="38"/>
      <x:c r="N286" s="38"/>
      <x:c r="O286" s="38"/>
      <x:c r="P286" s="38"/>
    </x:row>
    <x:row r="287" ht="32" customHeight="1">
      <x:c r="A287" s="38"/>
      <x:c r="B287" s="41"/>
      <x:c r="C287" s="38"/>
      <x:c r="D287" s="38"/>
      <x:c r="E287" s="38"/>
      <x:c r="F287" s="38"/>
      <x:c r="G287" s="38"/>
      <x:c r="H287" s="40"/>
      <x:c r="I287" s="40"/>
      <x:c r="J287" s="40"/>
      <x:c r="K287" s="40"/>
      <x:c r="L287" s="38"/>
      <x:c r="M287" s="38"/>
      <x:c r="N287" s="38"/>
      <x:c r="O287" s="38"/>
      <x:c r="P287" s="38"/>
    </x:row>
    <x:row r="288" ht="32" customHeight="1">
      <x:c r="A288" s="38"/>
      <x:c r="B288" s="41"/>
      <x:c r="C288" s="38"/>
      <x:c r="D288" s="38"/>
      <x:c r="E288" s="38"/>
      <x:c r="F288" s="38"/>
      <x:c r="G288" s="38"/>
      <x:c r="H288" s="40"/>
      <x:c r="I288" s="40"/>
      <x:c r="J288" s="40"/>
      <x:c r="K288" s="40"/>
      <x:c r="L288" s="38"/>
      <x:c r="M288" s="38"/>
      <x:c r="N288" s="38"/>
      <x:c r="O288" s="38"/>
      <x:c r="P288" s="38"/>
    </x:row>
    <x:row r="289" ht="32" customHeight="1">
      <x:c r="A289" s="38"/>
      <x:c r="B289" s="41"/>
      <x:c r="C289" s="38"/>
      <x:c r="D289" s="38"/>
      <x:c r="E289" s="38"/>
      <x:c r="F289" s="38"/>
      <x:c r="G289" s="38"/>
      <x:c r="H289" s="40"/>
      <x:c r="I289" s="40"/>
      <x:c r="J289" s="40"/>
      <x:c r="K289" s="40"/>
      <x:c r="L289" s="38"/>
      <x:c r="M289" s="38"/>
      <x:c r="N289" s="38"/>
      <x:c r="O289" s="38"/>
      <x:c r="P289" s="38"/>
    </x:row>
    <x:row r="290" ht="32" customHeight="1">
      <x:c r="A290" s="38"/>
      <x:c r="B290" s="41"/>
      <x:c r="C290" s="38"/>
      <x:c r="D290" s="38"/>
      <x:c r="E290" s="38"/>
      <x:c r="F290" s="38"/>
      <x:c r="G290" s="38"/>
      <x:c r="H290" s="40"/>
      <x:c r="I290" s="40"/>
      <x:c r="J290" s="40"/>
      <x:c r="K290" s="40"/>
      <x:c r="L290" s="38"/>
      <x:c r="M290" s="38"/>
      <x:c r="N290" s="38"/>
      <x:c r="O290" s="38"/>
      <x:c r="P290" s="38"/>
    </x:row>
    <x:row r="291" ht="32" customHeight="1">
      <x:c r="A291" s="38"/>
      <x:c r="B291" s="41"/>
      <x:c r="C291" s="38"/>
      <x:c r="D291" s="38"/>
      <x:c r="E291" s="38"/>
      <x:c r="F291" s="38"/>
      <x:c r="G291" s="38"/>
      <x:c r="H291" s="40"/>
      <x:c r="I291" s="40"/>
      <x:c r="J291" s="40"/>
      <x:c r="K291" s="40"/>
      <x:c r="L291" s="38"/>
      <x:c r="M291" s="38"/>
      <x:c r="N291" s="38"/>
      <x:c r="O291" s="38"/>
      <x:c r="P291" s="38"/>
    </x:row>
    <x:row r="292" ht="32" customHeight="1">
      <x:c r="A292" s="38"/>
      <x:c r="B292" s="41"/>
      <x:c r="C292" s="38"/>
      <x:c r="D292" s="38"/>
      <x:c r="E292" s="38"/>
      <x:c r="F292" s="38"/>
      <x:c r="G292" s="38"/>
      <x:c r="H292" s="40"/>
      <x:c r="I292" s="40"/>
      <x:c r="J292" s="40"/>
      <x:c r="K292" s="40"/>
      <x:c r="L292" s="38"/>
      <x:c r="M292" s="38"/>
      <x:c r="N292" s="38"/>
      <x:c r="O292" s="38"/>
      <x:c r="P292" s="38"/>
    </x:row>
    <x:row r="293" ht="32" customHeight="1">
      <x:c r="A293" s="38"/>
      <x:c r="B293" s="41"/>
      <x:c r="C293" s="38"/>
      <x:c r="D293" s="38"/>
      <x:c r="E293" s="38"/>
      <x:c r="F293" s="38"/>
      <x:c r="G293" s="38"/>
      <x:c r="H293" s="40"/>
      <x:c r="I293" s="40"/>
      <x:c r="J293" s="40"/>
      <x:c r="K293" s="40"/>
      <x:c r="L293" s="38"/>
      <x:c r="M293" s="38"/>
      <x:c r="N293" s="38"/>
      <x:c r="O293" s="38"/>
      <x:c r="P293" s="38"/>
    </x:row>
    <x:row r="294" ht="32" customHeight="1">
      <x:c r="A294" s="38"/>
      <x:c r="B294" s="41"/>
      <x:c r="C294" s="38"/>
      <x:c r="D294" s="38"/>
      <x:c r="E294" s="38"/>
      <x:c r="F294" s="38"/>
      <x:c r="G294" s="38"/>
      <x:c r="H294" s="40"/>
      <x:c r="I294" s="40"/>
      <x:c r="J294" s="40"/>
      <x:c r="K294" s="40"/>
      <x:c r="L294" s="38"/>
      <x:c r="M294" s="38"/>
      <x:c r="N294" s="38"/>
      <x:c r="O294" s="38"/>
      <x:c r="P294" s="38"/>
    </x:row>
    <x:row r="295" ht="32" customHeight="1">
      <x:c r="A295" s="38"/>
      <x:c r="B295" s="41"/>
      <x:c r="C295" s="38"/>
      <x:c r="D295" s="38"/>
      <x:c r="E295" s="38"/>
      <x:c r="F295" s="38"/>
      <x:c r="G295" s="38"/>
      <x:c r="H295" s="40"/>
      <x:c r="I295" s="40"/>
      <x:c r="J295" s="40"/>
      <x:c r="K295" s="40"/>
      <x:c r="L295" s="38"/>
      <x:c r="M295" s="38"/>
      <x:c r="N295" s="38"/>
      <x:c r="O295" s="38"/>
      <x:c r="P295" s="38"/>
    </x:row>
    <x:row r="296" ht="32" customHeight="1">
      <x:c r="A296" s="38"/>
      <x:c r="B296" s="41"/>
      <x:c r="C296" s="38"/>
      <x:c r="D296" s="38"/>
      <x:c r="E296" s="38"/>
      <x:c r="F296" s="38"/>
      <x:c r="G296" s="38"/>
      <x:c r="H296" s="40"/>
      <x:c r="I296" s="40"/>
      <x:c r="J296" s="40"/>
      <x:c r="K296" s="40"/>
      <x:c r="L296" s="38"/>
      <x:c r="M296" s="38"/>
      <x:c r="N296" s="38"/>
      <x:c r="O296" s="38"/>
      <x:c r="P296" s="38"/>
    </x:row>
    <x:row r="297" ht="32" customHeight="1">
      <x:c r="A297" s="38"/>
      <x:c r="B297" s="41"/>
      <x:c r="C297" s="38"/>
      <x:c r="D297" s="38"/>
      <x:c r="E297" s="38"/>
      <x:c r="F297" s="38"/>
      <x:c r="G297" s="38"/>
      <x:c r="H297" s="40"/>
      <x:c r="I297" s="40"/>
      <x:c r="J297" s="40"/>
      <x:c r="K297" s="40"/>
      <x:c r="L297" s="38"/>
      <x:c r="M297" s="38"/>
      <x:c r="N297" s="38"/>
      <x:c r="O297" s="38"/>
      <x:c r="P297" s="38"/>
    </x:row>
    <x:row r="298" ht="32" customHeight="1">
      <x:c r="A298" s="38"/>
      <x:c r="B298" s="41"/>
      <x:c r="C298" s="38"/>
      <x:c r="D298" s="38"/>
      <x:c r="E298" s="38"/>
      <x:c r="F298" s="38"/>
      <x:c r="G298" s="38"/>
      <x:c r="H298" s="40"/>
      <x:c r="I298" s="40"/>
      <x:c r="J298" s="40"/>
      <x:c r="K298" s="40"/>
      <x:c r="L298" s="38"/>
      <x:c r="M298" s="38"/>
      <x:c r="N298" s="38"/>
      <x:c r="O298" s="38"/>
      <x:c r="P298" s="38"/>
    </x:row>
    <x:row r="299" ht="32" customHeight="1">
      <x:c r="A299" s="38"/>
      <x:c r="B299" s="41"/>
      <x:c r="C299" s="38"/>
      <x:c r="D299" s="38"/>
      <x:c r="E299" s="38"/>
      <x:c r="F299" s="38"/>
      <x:c r="G299" s="38"/>
      <x:c r="H299" s="40"/>
      <x:c r="I299" s="40"/>
      <x:c r="J299" s="40"/>
      <x:c r="K299" s="40"/>
      <x:c r="L299" s="38"/>
      <x:c r="M299" s="38"/>
      <x:c r="N299" s="38"/>
      <x:c r="O299" s="38"/>
      <x:c r="P299" s="38"/>
    </x:row>
    <x:row r="300" ht="32" customHeight="1">
      <x:c r="A300" s="38"/>
      <x:c r="B300" s="41"/>
      <x:c r="C300" s="38"/>
      <x:c r="D300" s="38"/>
      <x:c r="E300" s="38"/>
      <x:c r="F300" s="38"/>
      <x:c r="G300" s="38"/>
      <x:c r="H300" s="40"/>
      <x:c r="I300" s="40"/>
      <x:c r="J300" s="40"/>
      <x:c r="K300" s="40"/>
      <x:c r="L300" s="38"/>
      <x:c r="M300" s="38"/>
      <x:c r="N300" s="38"/>
      <x:c r="O300" s="38"/>
      <x:c r="P300" s="38"/>
    </x:row>
    <x:row r="301" ht="32" customHeight="1">
      <x:c r="A301" s="38"/>
      <x:c r="B301" s="41"/>
      <x:c r="C301" s="38"/>
      <x:c r="D301" s="38"/>
      <x:c r="E301" s="38"/>
      <x:c r="F301" s="38"/>
      <x:c r="G301" s="38"/>
      <x:c r="H301" s="40"/>
      <x:c r="I301" s="40"/>
      <x:c r="J301" s="40"/>
      <x:c r="K301" s="40"/>
      <x:c r="L301" s="38"/>
      <x:c r="M301" s="38"/>
      <x:c r="N301" s="38"/>
      <x:c r="O301" s="38"/>
      <x:c r="P301" s="38"/>
    </x:row>
  </x:sheetData>
  <x:conditionalFormatting sqref="L2:L301">
    <x:cfRule type="containsText" dxfId="9" priority="1" operator="containsText" text="已关闭"/>
    <x:cfRule type="containsText" dxfId="10" priority="2" operator="containsText" text="待修复"/>
  </x:conditionalFormatting>
  <x:dataValidations count="4">
    <x:dataValidation type="list" sqref="D2:D301">
      <x:formula1>"平行联盟,经典模式,两种模式"</x:formula1>
    </x:dataValidation>
    <x:dataValidation type="list" sqref="F2:F301">
      <x:formula1>"致命,严重,一般,轻微"</x:formula1>
    </x:dataValidation>
    <x:dataValidation type="list" sqref="L2:L301">
      <x:formula1>"待确认,待修复,修复中,待复测,已关闭,暂缓"</x:formula1>
    </x:dataValidation>
    <x:dataValidation type="list" sqref="O2:O301">
      <x:formula1>"未复测,通过,失败"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9a6a2962dc4950"/>
  </x:tableParts>
</x:worksheet>
</file>